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 DAVID\Downloads\"/>
    </mc:Choice>
  </mc:AlternateContent>
  <bookViews>
    <workbookView xWindow="0" yWindow="0" windowWidth="21570" windowHeight="8145" activeTab="1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9" i="2" l="1"/>
  <c r="G19" i="2"/>
  <c r="F19" i="2"/>
  <c r="E19" i="2"/>
  <c r="D19" i="2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5" i="2"/>
  <c r="G15" i="2"/>
  <c r="F15" i="2"/>
  <c r="E15" i="2"/>
  <c r="D15" i="2"/>
  <c r="C15" i="2"/>
  <c r="B15" i="2"/>
  <c r="H14" i="2"/>
  <c r="G14" i="2"/>
  <c r="F14" i="2"/>
  <c r="E14" i="2"/>
  <c r="D14" i="2"/>
  <c r="C14" i="2"/>
  <c r="B14" i="2"/>
  <c r="G13" i="2"/>
  <c r="F13" i="2"/>
  <c r="E13" i="2"/>
  <c r="D13" i="2"/>
  <c r="C22" i="1" l="1"/>
  <c r="E22" i="1" s="1"/>
  <c r="F22" i="1"/>
  <c r="D22" i="1"/>
  <c r="G21" i="1"/>
  <c r="H21" i="1" s="1"/>
  <c r="F21" i="1"/>
  <c r="E21" i="1"/>
  <c r="G22" i="1" l="1"/>
  <c r="H22" i="1" s="1"/>
  <c r="J18" i="1" l="1"/>
  <c r="I18" i="1"/>
  <c r="F18" i="1" l="1"/>
</calcChain>
</file>

<file path=xl/sharedStrings.xml><?xml version="1.0" encoding="utf-8"?>
<sst xmlns="http://schemas.openxmlformats.org/spreadsheetml/2006/main" count="26" uniqueCount="21">
  <si>
    <t>Grado Polinomio:</t>
  </si>
  <si>
    <t>Error:</t>
  </si>
  <si>
    <t>Pto. inicio</t>
  </si>
  <si>
    <t>a_n</t>
  </si>
  <si>
    <t>b_n</t>
  </si>
  <si>
    <t>f(a_n)</t>
  </si>
  <si>
    <t>f(b_n)</t>
  </si>
  <si>
    <t>x_n</t>
  </si>
  <si>
    <t>F(x_n)</t>
  </si>
  <si>
    <t>x^2</t>
  </si>
  <si>
    <t>x^1</t>
  </si>
  <si>
    <t>x^0</t>
  </si>
  <si>
    <t>Error</t>
  </si>
  <si>
    <t>x^3</t>
  </si>
  <si>
    <t>3*1*x^2+02*-2*x^1+01*0*x^0+0</t>
  </si>
  <si>
    <t>F(a_n)</t>
  </si>
  <si>
    <t>f(x_n)</t>
  </si>
  <si>
    <t>INTERVALO</t>
  </si>
  <si>
    <t>a</t>
  </si>
  <si>
    <t>b</t>
  </si>
  <si>
    <t>1*x^3+4*x^2+0*x^1+-10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</si>
</sst>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0" borderId="1" xfId="0" applyBorder="1"/>
    <xf numFmtId="0" fontId="0" fillId="0" borderId="2" xfId="0" applyFill="1" applyBorder="1"/>
    <xf numFmtId="0" fontId="0" fillId="0" borderId="1" xfId="0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0" borderId="0" xfId="0" applyFont="1" applyFill="1" applyBorder="1"/>
    <xf numFmtId="0" fontId="0" fillId="0" borderId="0" xfId="0" applyBorder="1"/>
    <xf numFmtId="0" fontId="1" fillId="2" borderId="1" xfId="0" applyFont="1" applyFill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2" borderId="1" xfId="0" applyFont="1" applyFill="1" applyBorder="1"/>
    <xf numFmtId="0" fontId="5" fillId="0" borderId="0" xfId="0" applyFont="1" applyFill="1" applyBorder="1"/>
    <xf numFmtId="0" fontId="0" fillId="0" borderId="3" xfId="0" applyBorder="1"/>
    <xf numFmtId="0" fontId="1" fillId="2" borderId="3" xfId="0" applyFont="1" applyFill="1" applyBorder="1"/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9525</xdr:rowOff>
        </xdr:from>
        <xdr:to>
          <xdr:col>3</xdr:col>
          <xdr:colOff>695325</xdr:colOff>
          <xdr:row>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leer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10</xdr:row>
          <xdr:rowOff>19050</xdr:rowOff>
        </xdr:from>
        <xdr:to>
          <xdr:col>14</xdr:col>
          <xdr:colOff>342900</xdr:colOff>
          <xdr:row>13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2</xdr:col>
          <xdr:colOff>466725</xdr:colOff>
          <xdr:row>13</xdr:row>
          <xdr:rowOff>19050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Biseccion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85725</xdr:rowOff>
        </xdr:from>
        <xdr:to>
          <xdr:col>2</xdr:col>
          <xdr:colOff>38100</xdr:colOff>
          <xdr:row>15</xdr:row>
          <xdr:rowOff>114300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14</xdr:row>
          <xdr:rowOff>180975</xdr:rowOff>
        </xdr:from>
        <xdr:to>
          <xdr:col>5</xdr:col>
          <xdr:colOff>581025</xdr:colOff>
          <xdr:row>16</xdr:row>
          <xdr:rowOff>95250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borrar 8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180975</xdr:rowOff>
        </xdr:from>
        <xdr:to>
          <xdr:col>2</xdr:col>
          <xdr:colOff>657225</xdr:colOff>
          <xdr:row>2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4</xdr:row>
          <xdr:rowOff>123825</xdr:rowOff>
        </xdr:from>
        <xdr:to>
          <xdr:col>2</xdr:col>
          <xdr:colOff>19050</xdr:colOff>
          <xdr:row>6</xdr:row>
          <xdr:rowOff>9525</xdr:rowOff>
        </xdr:to>
        <xdr:sp macro="" textlink="">
          <xdr:nvSpPr>
            <xdr:cNvPr id="2050" name="Option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1057275</xdr:colOff>
          <xdr:row>6</xdr:row>
          <xdr:rowOff>142875</xdr:rowOff>
        </xdr:from>
        <xdr:to>
          <xdr:col>2</xdr:col>
          <xdr:colOff>47625</xdr:colOff>
          <xdr:row>8</xdr:row>
          <xdr:rowOff>28575</xdr:rowOff>
        </xdr:to>
        <xdr:sp macro="" textlink="">
          <xdr:nvSpPr>
            <xdr:cNvPr id="2051" name="Option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5</xdr:row>
          <xdr:rowOff>123825</xdr:rowOff>
        </xdr:from>
        <xdr:to>
          <xdr:col>13</xdr:col>
          <xdr:colOff>200025</xdr:colOff>
          <xdr:row>7</xdr:row>
          <xdr:rowOff>38100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762000</xdr:colOff>
          <xdr:row>8</xdr:row>
          <xdr:rowOff>180975</xdr:rowOff>
        </xdr:from>
        <xdr:to>
          <xdr:col>13</xdr:col>
          <xdr:colOff>295275</xdr:colOff>
          <xdr:row>10</xdr:row>
          <xdr:rowOff>57150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L22"/>
  <sheetViews>
    <sheetView topLeftCell="A10" workbookViewId="0">
      <selection activeCell="E21" sqref="E21"/>
    </sheetView>
  </sheetViews>
  <sheetFormatPr baseColWidth="10" defaultRowHeight="15" x14ac:dyDescent="0.25"/>
  <sheetData>
    <row r="2" spans="1:12" x14ac:dyDescent="0.25">
      <c r="C2">
        <v>4</v>
      </c>
    </row>
    <row r="6" spans="1:12" s="6" customFormat="1" x14ac:dyDescent="0.25">
      <c r="D6" s="8"/>
      <c r="J6" s="11"/>
    </row>
    <row r="7" spans="1:12" ht="15.75" thickBot="1" x14ac:dyDescent="0.3">
      <c r="A7" s="1"/>
      <c r="B7" s="1"/>
    </row>
    <row r="8" spans="1:12" s="9" customFormat="1" ht="15.75" thickBot="1" x14ac:dyDescent="0.3">
      <c r="D8" s="10" t="s">
        <v>2</v>
      </c>
      <c r="E8" s="3">
        <v>2</v>
      </c>
      <c r="G8" s="13" t="s">
        <v>1</v>
      </c>
      <c r="H8" s="3"/>
    </row>
    <row r="11" spans="1:12" x14ac:dyDescent="0.25"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ht="15.75" thickBot="1" x14ac:dyDescent="0.3"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ht="15.75" thickBot="1" x14ac:dyDescent="0.3">
      <c r="C13" s="6"/>
      <c r="D13" s="7"/>
      <c r="E13" s="2"/>
      <c r="F13" s="4"/>
      <c r="G13" s="2"/>
      <c r="H13" s="5"/>
      <c r="I13" s="6"/>
      <c r="J13" s="12"/>
      <c r="K13" s="5"/>
      <c r="L13" s="6"/>
    </row>
    <row r="14" spans="1:12" x14ac:dyDescent="0.25"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3:12" x14ac:dyDescent="0.25"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3:12" x14ac:dyDescent="0.25">
      <c r="C18" s="6"/>
      <c r="D18" s="6"/>
      <c r="E18" s="6"/>
      <c r="F18" s="6">
        <f>E8</f>
        <v>2</v>
      </c>
      <c r="G18" s="6">
        <v>3</v>
      </c>
      <c r="H18" s="6"/>
      <c r="I18" s="6">
        <f>(F18+G18)/2</f>
        <v>2.5</v>
      </c>
      <c r="J18" s="6">
        <f>(4+1)/2</f>
        <v>2.5</v>
      </c>
      <c r="K18" s="6"/>
      <c r="L18" s="6"/>
    </row>
    <row r="19" spans="3:12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3:12" x14ac:dyDescent="0.25">
      <c r="C20" t="s">
        <v>3</v>
      </c>
      <c r="D20" t="s">
        <v>4</v>
      </c>
      <c r="E20" t="s">
        <v>5</v>
      </c>
      <c r="F20" t="s">
        <v>6</v>
      </c>
      <c r="G20" t="s">
        <v>7</v>
      </c>
      <c r="H20" t="s">
        <v>8</v>
      </c>
    </row>
    <row r="21" spans="3:12" x14ac:dyDescent="0.25">
      <c r="C21">
        <v>1.2</v>
      </c>
      <c r="D21">
        <v>1.7</v>
      </c>
      <c r="E21">
        <f>EXP(-C21)-LN(C21)</f>
        <v>0.11887265511824754</v>
      </c>
      <c r="F21">
        <f>EXP(-D21)-LN(D21)</f>
        <v>-0.34794472700943568</v>
      </c>
      <c r="G21">
        <f>(C21+D21)/2</f>
        <v>1.45</v>
      </c>
      <c r="H21">
        <f>EXP(-G21)-LN(G21)</f>
        <v>-0.13699326833868536</v>
      </c>
    </row>
    <row r="22" spans="3:12" x14ac:dyDescent="0.25">
      <c r="C22">
        <f>IF(E21*H21&lt;0,C21,G21)</f>
        <v>1.2</v>
      </c>
      <c r="D22">
        <f>IF(F21*H21&lt;0,D21,G21)</f>
        <v>1.45</v>
      </c>
      <c r="E22">
        <f>EXP(-C22)-LN(C22)</f>
        <v>0.11887265511824754</v>
      </c>
      <c r="F22">
        <f>EXP(-D22)-LN(D22)</f>
        <v>-0.13699326833868536</v>
      </c>
      <c r="G22">
        <f>(C22+D22)/2</f>
        <v>1.325</v>
      </c>
      <c r="H22">
        <f>EXP(-G22)-LN(G22)</f>
        <v>-1.5609500349258898E-2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sertarFilasColumnas">
                <anchor moveWithCells="1" sizeWithCells="1">
                  <from>
                    <xdr:col>3</xdr:col>
                    <xdr:colOff>47625</xdr:colOff>
                    <xdr:row>1</xdr:row>
                    <xdr:rowOff>9525</xdr:rowOff>
                  </from>
                  <to>
                    <xdr:col>3</xdr:col>
                    <xdr:colOff>695325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qui">
                <anchor moveWithCells="1" sizeWithCells="1">
                  <from>
                    <xdr:col>11</xdr:col>
                    <xdr:colOff>533400</xdr:colOff>
                    <xdr:row>10</xdr:row>
                    <xdr:rowOff>19050</xdr:rowOff>
                  </from>
                  <to>
                    <xdr:col>14</xdr:col>
                    <xdr:colOff>342900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biseccion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2</xdr:col>
                    <xdr:colOff>466725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newton">
                <anchor moveWithCells="1">
                  <from>
                    <xdr:col>1</xdr:col>
                    <xdr:colOff>0</xdr:colOff>
                    <xdr:row>14</xdr:row>
                    <xdr:rowOff>85725</xdr:rowOff>
                  </from>
                  <to>
                    <xdr:col>2</xdr:col>
                    <xdr:colOff>38100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borrar">
                <anchor moveWithCells="1">
                  <from>
                    <xdr:col>3</xdr:col>
                    <xdr:colOff>666750</xdr:colOff>
                    <xdr:row>14</xdr:row>
                    <xdr:rowOff>180975</xdr:rowOff>
                  </from>
                  <to>
                    <xdr:col>5</xdr:col>
                    <xdr:colOff>581025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M20"/>
  <sheetViews>
    <sheetView tabSelected="1" topLeftCell="A5" workbookViewId="0">
      <selection activeCell="G10" sqref="G10"/>
    </sheetView>
  </sheetViews>
  <sheetFormatPr baseColWidth="10" defaultRowHeight="15" x14ac:dyDescent="0.25"/>
  <cols>
    <col min="1" max="1" width="16.28515625" customWidth="1"/>
    <col min="3" max="3" width="11.85546875" bestFit="1" customWidth="1"/>
    <col min="5" max="5" width="11.85546875" bestFit="1" customWidth="1"/>
    <col min="8" max="8" width="12" bestFit="1" customWidth="1"/>
    <col min="12" max="12" width="11.85546875" bestFit="1" customWidth="1"/>
  </cols>
  <sheetData>
    <row r="2" spans="1:13" x14ac:dyDescent="0.25">
      <c r="A2" s="16" t="s">
        <v>0</v>
      </c>
      <c r="B2" s="15">
        <v>3</v>
      </c>
      <c r="M2" t="s">
        <v>14</v>
      </c>
    </row>
    <row r="3" spans="1:13" x14ac:dyDescent="0.25">
      <c r="M3" t="s">
        <v>20</v>
      </c>
    </row>
    <row r="4" spans="1:13" x14ac:dyDescent="0.25">
      <c r="B4">
        <v>1</v>
      </c>
      <c r="C4" t="s">
        <v>13</v>
      </c>
      <c r="D4">
        <v>4</v>
      </c>
      <c r="E4" t="s">
        <v>9</v>
      </c>
      <c r="F4">
        <v>0</v>
      </c>
      <c r="G4" t="s">
        <v>10</v>
      </c>
      <c r="H4">
        <v>-10</v>
      </c>
      <c r="I4" t="s">
        <v>11</v>
      </c>
    </row>
    <row r="5" spans="1:13" ht="15.75" thickBot="1" x14ac:dyDescent="0.3"/>
    <row r="6" spans="1:13" s="6" customFormat="1" ht="15.75" thickBot="1" x14ac:dyDescent="0.3">
      <c r="D6" s="7" t="s">
        <v>17</v>
      </c>
      <c r="E6" s="2" t="s">
        <v>18</v>
      </c>
      <c r="F6" s="4">
        <v>1</v>
      </c>
      <c r="G6" s="2" t="s">
        <v>19</v>
      </c>
      <c r="H6" s="5">
        <v>2</v>
      </c>
      <c r="J6" s="12" t="s">
        <v>1</v>
      </c>
      <c r="K6" s="5">
        <v>0.01</v>
      </c>
    </row>
    <row r="8" spans="1:13" s="6" customFormat="1" x14ac:dyDescent="0.25">
      <c r="G8" s="11"/>
    </row>
    <row r="12" spans="1:13" x14ac:dyDescent="0.25">
      <c r="B12" s="17" t="s">
        <v>3</v>
      </c>
      <c r="C12" s="17" t="s">
        <v>4</v>
      </c>
      <c r="D12" s="17" t="s">
        <v>15</v>
      </c>
      <c r="E12" s="17" t="s">
        <v>6</v>
      </c>
      <c r="F12" s="17" t="s">
        <v>7</v>
      </c>
      <c r="G12" s="17" t="s">
        <v>16</v>
      </c>
      <c r="H12" s="17" t="s">
        <v>12</v>
      </c>
    </row>
    <row r="13" spans="1:13" x14ac:dyDescent="0.25">
      <c r="A13" s="14"/>
      <c r="B13">
        <v>1</v>
      </c>
      <c r="C13">
        <v>2</v>
      </c>
      <c r="D13">
        <f>1*1^3+4*1^2+0*1^1+-10</f>
        <v>-5</v>
      </c>
      <c r="E13">
        <f>1*2^3+4*2^2+0*2^1+-10</f>
        <v>14</v>
      </c>
      <c r="F13">
        <f>(B13+C13)/2</f>
        <v>1.5</v>
      </c>
      <c r="G13">
        <f>1*1.5^3+4*1.5^2+0*1.5^1+-10</f>
        <v>2.375</v>
      </c>
    </row>
    <row r="14" spans="1:13" x14ac:dyDescent="0.25">
      <c r="A14" s="14"/>
      <c r="B14">
        <f>IF(D13*G13&lt;0,B13,F13)</f>
        <v>1</v>
      </c>
      <c r="C14">
        <f>IF(E13*G13&lt;0,C13,F13)</f>
        <v>1.5</v>
      </c>
      <c r="D14">
        <f>1*1^3+4*1^2+0*1^1+-10</f>
        <v>-5</v>
      </c>
      <c r="E14">
        <f>1*1.5^3+4*1.5^2+0*1.5^1+-10</f>
        <v>2.375</v>
      </c>
      <c r="F14">
        <f>(B14+C14)/2</f>
        <v>1.25</v>
      </c>
      <c r="G14">
        <f>1*1.25^3+4*1.25^2+0*1.25^1+-10</f>
        <v>-1.796875</v>
      </c>
      <c r="H14">
        <f>ABS(F14-F13)/F14</f>
        <v>0.2</v>
      </c>
    </row>
    <row r="15" spans="1:13" x14ac:dyDescent="0.25">
      <c r="A15" s="14"/>
      <c r="B15">
        <f>IF(D14*G14&lt;0,B14,F14)</f>
        <v>1.25</v>
      </c>
      <c r="C15">
        <f>IF(E14*G14&lt;0,C14,F14)</f>
        <v>1.5</v>
      </c>
      <c r="D15">
        <f>1*1.25^3+4*1.25^2+0*1.25^1+-10</f>
        <v>-1.796875</v>
      </c>
      <c r="E15">
        <f>1*1.5^3+4*1.5^2+0*1.5^1+-10</f>
        <v>2.375</v>
      </c>
      <c r="F15">
        <f>(B15+C15)/2</f>
        <v>1.375</v>
      </c>
      <c r="G15">
        <f>1*1.375^3+4*1.375^2+0*1.375^1+-10</f>
        <v>0.162109375</v>
      </c>
      <c r="H15">
        <f>ABS(F15-F14)/F15</f>
        <v>9.0909090909090912E-2</v>
      </c>
    </row>
    <row r="16" spans="1:13" x14ac:dyDescent="0.25">
      <c r="A16" s="14"/>
      <c r="B16">
        <f>IF(D15*G15&lt;0,B15,F15)</f>
        <v>1.25</v>
      </c>
      <c r="C16">
        <f>IF(E15*G15&lt;0,C15,F15)</f>
        <v>1.375</v>
      </c>
      <c r="D16">
        <f>1*1.25^3+4*1.25^2+0*1.25^1+-10</f>
        <v>-1.796875</v>
      </c>
      <c r="E16">
        <f>1*1.375^3+4*1.375^2+0*1.375^1+-10</f>
        <v>0.162109375</v>
      </c>
      <c r="F16">
        <f>(B16+C16)/2</f>
        <v>1.3125</v>
      </c>
      <c r="G16">
        <f>1*1.3125^3+4*1.3125^2+0*1.3125^1+-10</f>
        <v>-0.848388671875</v>
      </c>
      <c r="H16">
        <f>ABS(F16-F15)/F16</f>
        <v>4.7619047619047616E-2</v>
      </c>
    </row>
    <row r="17" spans="1:8" x14ac:dyDescent="0.25">
      <c r="A17" s="14"/>
      <c r="B17">
        <f>IF(D16*G16&lt;0,B16,F16)</f>
        <v>1.3125</v>
      </c>
      <c r="C17">
        <f>IF(E16*G16&lt;0,C16,F16)</f>
        <v>1.375</v>
      </c>
      <c r="D17">
        <f>1*1.3125^3+4*1.3125^2+0*1.3125^1+-10</f>
        <v>-0.848388671875</v>
      </c>
      <c r="E17">
        <f>1*1.375^3+4*1.375^2+0*1.375^1+-10</f>
        <v>0.162109375</v>
      </c>
      <c r="F17">
        <f>(B17+C17)/2</f>
        <v>1.34375</v>
      </c>
      <c r="G17">
        <f>1*1.34375^3+4*1.34375^2+0*1.34375^1+-10</f>
        <v>-0.350982666015625</v>
      </c>
      <c r="H17">
        <f>ABS(F17-F16)/F17</f>
        <v>2.3255813953488372E-2</v>
      </c>
    </row>
    <row r="18" spans="1:8" x14ac:dyDescent="0.25">
      <c r="A18" s="6"/>
      <c r="B18">
        <f>IF(D17*G17&lt;0,B17,F17)</f>
        <v>1.34375</v>
      </c>
      <c r="C18">
        <f>IF(E17*G17&lt;0,C17,F17)</f>
        <v>1.375</v>
      </c>
      <c r="D18">
        <f>1*1.34375^3+4*1.34375^2+0*1.34375^1+-10</f>
        <v>-0.350982666015625</v>
      </c>
      <c r="E18">
        <f>1*1.375^3+4*1.375^2+0*1.375^1+-10</f>
        <v>0.162109375</v>
      </c>
      <c r="F18">
        <f>(B18+C18)/2</f>
        <v>1.359375</v>
      </c>
      <c r="G18">
        <f>1*1.359375^3+4*1.359375^2+0*1.359375^1+-10</f>
        <v>-9.6408843994140625E-2</v>
      </c>
      <c r="H18">
        <f>ABS(F18-F17)/F18</f>
        <v>1.1494252873563218E-2</v>
      </c>
    </row>
    <row r="19" spans="1:8" x14ac:dyDescent="0.25">
      <c r="A19" s="6"/>
      <c r="B19">
        <f>IF(D18*G18&lt;0,B18,F18)</f>
        <v>1.359375</v>
      </c>
      <c r="C19">
        <f>IF(E18*G18&lt;0,C18,F18)</f>
        <v>1.375</v>
      </c>
      <c r="D19">
        <f>1*1.359375^3+4*1.359375^2+0*1.359375^1+-10</f>
        <v>-9.6408843994140625E-2</v>
      </c>
      <c r="E19">
        <f>1*1.375^3+4*1.375^2+0*1.375^1+-10</f>
        <v>0.162109375</v>
      </c>
      <c r="F19">
        <f>(B19+C19)/2</f>
        <v>1.3671875</v>
      </c>
      <c r="G19">
        <f>1*1.3671875^3+4*1.3671875^2+0*1.3671875^1+-10</f>
        <v>3.2355785369873047E-2</v>
      </c>
      <c r="H19">
        <f>ABS(F19-F18)/F19</f>
        <v>5.7142857142857143E-3</v>
      </c>
    </row>
    <row r="20" spans="1:8" x14ac:dyDescent="0.25">
      <c r="A20" s="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11</xdr:col>
                <xdr:colOff>762000</xdr:colOff>
                <xdr:row>8</xdr:row>
                <xdr:rowOff>180975</xdr:rowOff>
              </from>
              <to>
                <xdr:col>13</xdr:col>
                <xdr:colOff>295275</xdr:colOff>
                <xdr:row>10</xdr:row>
                <xdr:rowOff>57150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OptionButton2">
          <controlPr defaultSize="0" autoLine="0" autoPict="0" r:id="rId7">
            <anchor moveWithCells="1">
              <from>
                <xdr:col>0</xdr:col>
                <xdr:colOff>1057275</xdr:colOff>
                <xdr:row>6</xdr:row>
                <xdr:rowOff>142875</xdr:rowOff>
              </from>
              <to>
                <xdr:col>2</xdr:col>
                <xdr:colOff>47625</xdr:colOff>
                <xdr:row>8</xdr:row>
                <xdr:rowOff>28575</xdr:rowOff>
              </to>
            </anchor>
          </controlPr>
        </control>
      </mc:Choice>
      <mc:Fallback>
        <control shapeId="2051" r:id="rId6" name="OptionButton2"/>
      </mc:Fallback>
    </mc:AlternateContent>
    <mc:AlternateContent xmlns:mc="http://schemas.openxmlformats.org/markup-compatibility/2006">
      <mc:Choice Requires="x14">
        <control shapeId="2050" r:id="rId8" name="OptionButton1">
          <controlPr defaultSize="0" autoLine="0" r:id="rId9">
            <anchor moveWithCells="1">
              <from>
                <xdr:col>0</xdr:col>
                <xdr:colOff>1066800</xdr:colOff>
                <xdr:row>4</xdr:row>
                <xdr:rowOff>123825</xdr:rowOff>
              </from>
              <to>
                <xdr:col>2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050" r:id="rId8" name="OptionButton1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autoPict="0" r:id="rId11">
            <anchor moveWithCells="1">
              <from>
                <xdr:col>2</xdr:col>
                <xdr:colOff>85725</xdr:colOff>
                <xdr:row>0</xdr:row>
                <xdr:rowOff>180975</xdr:rowOff>
              </from>
              <to>
                <xdr:col>2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12</xdr:col>
                <xdr:colOff>47625</xdr:colOff>
                <xdr:row>5</xdr:row>
                <xdr:rowOff>123825</xdr:rowOff>
              </from>
              <to>
                <xdr:col>13</xdr:col>
                <xdr:colOff>200025</xdr:colOff>
                <xdr:row>7</xdr:row>
                <xdr:rowOff>38100</xdr:rowOff>
              </to>
            </anchor>
          </controlPr>
        </control>
      </mc:Choice>
      <mc:Fallback>
        <control shapeId="2052" r:id="rId12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jerez</dc:creator>
  <cp:lastModifiedBy>JUAN DAVID</cp:lastModifiedBy>
  <dcterms:created xsi:type="dcterms:W3CDTF">2019-10-07T22:19:48Z</dcterms:created>
  <dcterms:modified xsi:type="dcterms:W3CDTF">2019-10-16T02:57:28Z</dcterms:modified>
</cp:coreProperties>
</file>