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TEBAN MOSQUERA\Desktop\Steban Mosquera\"/>
    </mc:Choice>
  </mc:AlternateContent>
  <bookViews>
    <workbookView xWindow="0" yWindow="0" windowWidth="19200" windowHeight="6300"/>
  </bookViews>
  <sheets>
    <sheet name="Hoja1" sheetId="1" r:id="rId1"/>
    <sheet name="Hoja2" sheetId="2" r:id="rId2"/>
  </sheets>
  <definedNames>
    <definedName name="grado">Hoja2!$B$2:$B$10</definedName>
    <definedName name="metodos">Hoja2!$Z$5:$Z$6</definedName>
    <definedName name="opciones">"CuadroTexto 1,CuadroTexto 2"</definedName>
    <definedName name="tablanew">Hoja2!$HA$9:$HE$10</definedName>
    <definedName name="tablas">Hoja1!$E$17:$I$18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0" i="2" l="1"/>
  <c r="D20" i="2" l="1"/>
  <c r="E20" i="2" l="1"/>
  <c r="I16" i="2"/>
  <c r="G16" i="2"/>
  <c r="E16" i="2"/>
  <c r="C16" i="2"/>
  <c r="GU16" i="2"/>
  <c r="GS16" i="2"/>
  <c r="GQ16" i="2"/>
  <c r="GO16" i="2"/>
  <c r="GM16" i="2"/>
  <c r="GK16" i="2"/>
  <c r="GI16" i="2"/>
  <c r="GG16" i="2"/>
  <c r="GE16" i="2"/>
  <c r="GC16" i="2"/>
  <c r="GA16" i="2"/>
  <c r="FY16" i="2"/>
  <c r="FW16" i="2"/>
  <c r="FU16" i="2"/>
  <c r="FS16" i="2"/>
  <c r="FQ16" i="2"/>
  <c r="FO16" i="2"/>
  <c r="FM16" i="2"/>
  <c r="FK16" i="2"/>
  <c r="FI16" i="2"/>
  <c r="FG16" i="2"/>
  <c r="FE16" i="2"/>
  <c r="FC16" i="2"/>
  <c r="FA16" i="2"/>
  <c r="EY16" i="2"/>
  <c r="EW16" i="2"/>
  <c r="EU16" i="2"/>
  <c r="ES16" i="2"/>
  <c r="EQ16" i="2"/>
  <c r="EO16" i="2"/>
  <c r="EM16" i="2"/>
  <c r="EK16" i="2"/>
  <c r="EI16" i="2"/>
  <c r="EG16" i="2"/>
  <c r="EE16" i="2"/>
  <c r="EC16" i="2"/>
  <c r="EA16" i="2"/>
  <c r="DY16" i="2"/>
  <c r="DW16" i="2"/>
  <c r="DU16" i="2"/>
  <c r="DS16" i="2"/>
  <c r="DQ16" i="2"/>
  <c r="DO16" i="2"/>
  <c r="DM16" i="2"/>
  <c r="DK16" i="2"/>
  <c r="DI16" i="2"/>
  <c r="DG16" i="2"/>
  <c r="DE16" i="2"/>
  <c r="DC16" i="2"/>
  <c r="DA16" i="2"/>
  <c r="CY16" i="2"/>
  <c r="CW16" i="2"/>
  <c r="CU16" i="2"/>
  <c r="CS16" i="2"/>
  <c r="CQ16" i="2"/>
  <c r="CO16" i="2"/>
  <c r="CM16" i="2"/>
  <c r="CK16" i="2"/>
  <c r="CI16" i="2"/>
  <c r="CG16" i="2"/>
  <c r="CE16" i="2"/>
  <c r="CC16" i="2"/>
  <c r="CA16" i="2"/>
  <c r="BY16" i="2"/>
  <c r="BW16" i="2"/>
  <c r="BU16" i="2"/>
  <c r="BS16" i="2"/>
  <c r="BQ16" i="2"/>
  <c r="BO16" i="2"/>
  <c r="BM16" i="2"/>
  <c r="BK16" i="2"/>
  <c r="BI16" i="2"/>
  <c r="BG16" i="2"/>
  <c r="BE16" i="2"/>
  <c r="BC16" i="2"/>
  <c r="BA16" i="2"/>
  <c r="AY16" i="2"/>
  <c r="AW16" i="2"/>
  <c r="AU16" i="2"/>
  <c r="AS16" i="2"/>
  <c r="AQ16" i="2"/>
  <c r="AO16" i="2"/>
  <c r="AM16" i="2"/>
  <c r="AK16" i="2"/>
  <c r="AI16" i="2"/>
  <c r="AG16" i="2"/>
  <c r="AE16" i="2"/>
  <c r="AC16" i="2"/>
  <c r="AA16" i="2"/>
  <c r="Y16" i="2"/>
  <c r="W16" i="2"/>
  <c r="U16" i="2"/>
  <c r="S16" i="2"/>
  <c r="Q16" i="2"/>
  <c r="O16" i="2"/>
  <c r="M16" i="2"/>
  <c r="K16" i="2"/>
  <c r="CX12" i="2"/>
  <c r="CW12" i="2"/>
  <c r="CV12" i="2"/>
  <c r="CU12" i="2"/>
  <c r="CT12" i="2"/>
  <c r="CS12" i="2"/>
  <c r="CR12" i="2"/>
  <c r="CQ12" i="2"/>
  <c r="CP12" i="2"/>
  <c r="CO12" i="2"/>
  <c r="CN12" i="2"/>
  <c r="CM12" i="2"/>
  <c r="CL12" i="2"/>
  <c r="CK12" i="2"/>
  <c r="CJ12" i="2"/>
  <c r="CI12" i="2"/>
  <c r="CH12" i="2"/>
  <c r="CG12" i="2"/>
  <c r="CF12" i="2"/>
  <c r="CE12" i="2"/>
  <c r="CD12" i="2"/>
  <c r="CC12" i="2"/>
  <c r="CB12" i="2"/>
  <c r="CA12" i="2"/>
  <c r="BZ12" i="2"/>
  <c r="BY12" i="2"/>
  <c r="BX12" i="2"/>
  <c r="BW12" i="2"/>
  <c r="BV12" i="2"/>
  <c r="BU12" i="2"/>
  <c r="BT12" i="2"/>
  <c r="BS12" i="2"/>
  <c r="BR12" i="2"/>
  <c r="BQ12" i="2"/>
  <c r="BP12" i="2"/>
  <c r="BO12" i="2"/>
  <c r="BN12" i="2"/>
  <c r="BM12" i="2"/>
  <c r="BL12" i="2"/>
  <c r="BK12" i="2"/>
  <c r="BJ12" i="2"/>
  <c r="BI12" i="2"/>
  <c r="BH12" i="2"/>
  <c r="BG12" i="2"/>
  <c r="BF12" i="2"/>
  <c r="BE12" i="2"/>
  <c r="BD12" i="2"/>
  <c r="BC12" i="2"/>
  <c r="BB12" i="2"/>
  <c r="BA12" i="2"/>
  <c r="AZ12" i="2"/>
  <c r="AY12" i="2"/>
  <c r="AX12" i="2"/>
  <c r="AW12" i="2"/>
  <c r="AV12" i="2"/>
  <c r="AU12" i="2"/>
  <c r="AT12" i="2"/>
  <c r="AS12" i="2"/>
  <c r="AR12" i="2"/>
  <c r="AQ12" i="2"/>
  <c r="AP12" i="2"/>
  <c r="AO12" i="2"/>
  <c r="AN12" i="2"/>
  <c r="AM12" i="2"/>
  <c r="AL12" i="2"/>
  <c r="AK12" i="2"/>
  <c r="AJ12" i="2"/>
  <c r="AI12" i="2"/>
  <c r="AH12" i="2"/>
  <c r="AG12" i="2"/>
  <c r="AF12" i="2"/>
  <c r="AE12" i="2"/>
  <c r="AD12" i="2"/>
  <c r="AC12" i="2"/>
  <c r="AB12" i="2"/>
  <c r="AA12" i="2"/>
  <c r="Z12" i="2"/>
  <c r="Y12" i="2"/>
  <c r="X12" i="2"/>
  <c r="W12" i="2"/>
  <c r="V12" i="2"/>
  <c r="U12" i="2"/>
  <c r="T12" i="2"/>
  <c r="S12" i="2"/>
  <c r="R12" i="2"/>
  <c r="Q12" i="2"/>
  <c r="P12" i="2"/>
  <c r="O12" i="2"/>
  <c r="N12" i="2"/>
  <c r="M12" i="2"/>
  <c r="L12" i="2"/>
  <c r="K12" i="2"/>
  <c r="J12" i="2"/>
  <c r="I12" i="2"/>
  <c r="H12" i="2"/>
  <c r="G12" i="2"/>
  <c r="F12" i="2"/>
  <c r="E12" i="2"/>
  <c r="D12" i="2"/>
  <c r="C12" i="2"/>
  <c r="CZ14" i="2"/>
  <c r="DA14" i="2"/>
  <c r="DB14" i="2"/>
  <c r="DC14" i="2"/>
  <c r="DD14" i="2"/>
  <c r="DE14" i="2"/>
  <c r="DF14" i="2"/>
  <c r="DG14" i="2"/>
  <c r="DH14" i="2"/>
  <c r="DI14" i="2"/>
  <c r="DJ14" i="2"/>
  <c r="DK14" i="2"/>
  <c r="DL14" i="2"/>
  <c r="DM14" i="2"/>
  <c r="DN14" i="2"/>
  <c r="DO14" i="2"/>
  <c r="DP14" i="2"/>
  <c r="DQ14" i="2"/>
  <c r="DR14" i="2"/>
  <c r="DS14" i="2"/>
  <c r="DT14" i="2"/>
  <c r="DU14" i="2"/>
  <c r="DV14" i="2"/>
  <c r="DW14" i="2"/>
  <c r="DX14" i="2"/>
  <c r="DY14" i="2"/>
  <c r="DZ14" i="2"/>
  <c r="EA14" i="2"/>
  <c r="EB14" i="2"/>
  <c r="EC14" i="2"/>
  <c r="ED14" i="2"/>
  <c r="EE14" i="2"/>
  <c r="EF14" i="2"/>
  <c r="EG14" i="2"/>
  <c r="EH14" i="2"/>
  <c r="EI14" i="2"/>
  <c r="EJ14" i="2"/>
  <c r="EK14" i="2"/>
  <c r="EL14" i="2"/>
  <c r="EM14" i="2"/>
  <c r="EN14" i="2"/>
  <c r="EO14" i="2"/>
  <c r="EP14" i="2"/>
  <c r="EQ14" i="2"/>
  <c r="ER14" i="2"/>
  <c r="ES14" i="2"/>
  <c r="ET14" i="2"/>
  <c r="EU14" i="2"/>
  <c r="EV14" i="2"/>
  <c r="EW14" i="2"/>
  <c r="EX14" i="2"/>
  <c r="EY14" i="2"/>
  <c r="EZ14" i="2"/>
  <c r="FA14" i="2"/>
  <c r="FB14" i="2"/>
  <c r="FC14" i="2"/>
  <c r="FD14" i="2"/>
  <c r="FE14" i="2"/>
  <c r="FF14" i="2"/>
  <c r="FG14" i="2"/>
  <c r="FH14" i="2"/>
  <c r="FI14" i="2"/>
  <c r="FJ14" i="2"/>
  <c r="FK14" i="2"/>
  <c r="FL14" i="2"/>
  <c r="FM14" i="2"/>
  <c r="FN14" i="2"/>
  <c r="FO14" i="2"/>
  <c r="FP14" i="2"/>
  <c r="FQ14" i="2"/>
  <c r="FR14" i="2"/>
  <c r="FS14" i="2"/>
  <c r="FT14" i="2"/>
  <c r="FU14" i="2"/>
  <c r="FV14" i="2"/>
  <c r="FW14" i="2"/>
  <c r="FX14" i="2"/>
  <c r="FY14" i="2"/>
  <c r="FZ14" i="2"/>
  <c r="GA14" i="2"/>
  <c r="GB14" i="2"/>
  <c r="GC14" i="2"/>
  <c r="GD14" i="2"/>
  <c r="GE14" i="2"/>
  <c r="GF14" i="2"/>
  <c r="GG14" i="2"/>
  <c r="GH14" i="2"/>
  <c r="GI14" i="2"/>
  <c r="GJ14" i="2"/>
  <c r="GK14" i="2"/>
  <c r="GL14" i="2"/>
  <c r="GM14" i="2"/>
  <c r="GN14" i="2"/>
  <c r="GO14" i="2"/>
  <c r="GP14" i="2"/>
  <c r="GQ14" i="2"/>
  <c r="GR14" i="2"/>
  <c r="GS14" i="2"/>
  <c r="GT14" i="2"/>
  <c r="GU14" i="2"/>
  <c r="GV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G14" i="2"/>
  <c r="AH14" i="2"/>
  <c r="AI14" i="2"/>
  <c r="AJ14" i="2"/>
  <c r="AK14" i="2"/>
  <c r="AL14" i="2"/>
  <c r="AM14" i="2"/>
  <c r="AN14" i="2"/>
  <c r="AO14" i="2"/>
  <c r="AP14" i="2"/>
  <c r="AQ14" i="2"/>
  <c r="AR14" i="2"/>
  <c r="AS14" i="2"/>
  <c r="AT14" i="2"/>
  <c r="AU14" i="2"/>
  <c r="AV14" i="2"/>
  <c r="AW14" i="2"/>
  <c r="AX14" i="2"/>
  <c r="AY14" i="2"/>
  <c r="AZ14" i="2"/>
  <c r="BA14" i="2"/>
  <c r="BB14" i="2"/>
  <c r="BC14" i="2"/>
  <c r="BD14" i="2"/>
  <c r="BE14" i="2"/>
  <c r="BF14" i="2"/>
  <c r="BG14" i="2"/>
  <c r="BH14" i="2"/>
  <c r="BI14" i="2"/>
  <c r="BJ14" i="2"/>
  <c r="BK14" i="2"/>
  <c r="BL14" i="2"/>
  <c r="BM14" i="2"/>
  <c r="BN14" i="2"/>
  <c r="BO14" i="2"/>
  <c r="BP14" i="2"/>
  <c r="BQ14" i="2"/>
  <c r="BR14" i="2"/>
  <c r="BS14" i="2"/>
  <c r="BT14" i="2"/>
  <c r="BU14" i="2"/>
  <c r="BV14" i="2"/>
  <c r="BW14" i="2"/>
  <c r="BX14" i="2"/>
  <c r="BY14" i="2"/>
  <c r="BZ14" i="2"/>
  <c r="CA14" i="2"/>
  <c r="CB14" i="2"/>
  <c r="CC14" i="2"/>
  <c r="CD14" i="2"/>
  <c r="CE14" i="2"/>
  <c r="CF14" i="2"/>
  <c r="CG14" i="2"/>
  <c r="CH14" i="2"/>
  <c r="CI14" i="2"/>
  <c r="CJ14" i="2"/>
  <c r="CK14" i="2"/>
  <c r="CL14" i="2"/>
  <c r="CM14" i="2"/>
  <c r="CN14" i="2"/>
  <c r="CO14" i="2"/>
  <c r="CP14" i="2"/>
  <c r="CQ14" i="2"/>
  <c r="CR14" i="2"/>
  <c r="CS14" i="2"/>
  <c r="CT14" i="2"/>
  <c r="CU14" i="2"/>
  <c r="CV14" i="2"/>
  <c r="CW14" i="2"/>
  <c r="CX14" i="2"/>
  <c r="CY14" i="2"/>
  <c r="D14" i="2"/>
  <c r="C18" i="2" l="1"/>
  <c r="D13" i="2"/>
  <c r="C13" i="2"/>
  <c r="E13" i="2" l="1"/>
  <c r="C20" i="2" s="1"/>
  <c r="F20" i="2" s="1"/>
</calcChain>
</file>

<file path=xl/sharedStrings.xml><?xml version="1.0" encoding="utf-8"?>
<sst xmlns="http://schemas.openxmlformats.org/spreadsheetml/2006/main" count="135" uniqueCount="119">
  <si>
    <t>Grado Polinomio</t>
  </si>
  <si>
    <t>x^3</t>
  </si>
  <si>
    <t>x^0</t>
  </si>
  <si>
    <t>x^1</t>
  </si>
  <si>
    <t>x^2</t>
  </si>
  <si>
    <t>x^4</t>
  </si>
  <si>
    <t>x^5</t>
  </si>
  <si>
    <t>x^6</t>
  </si>
  <si>
    <t>x^7</t>
  </si>
  <si>
    <t>x^8</t>
  </si>
  <si>
    <t>x^9</t>
  </si>
  <si>
    <t>metodo</t>
  </si>
  <si>
    <t>Bisección</t>
  </si>
  <si>
    <t>Newton</t>
  </si>
  <si>
    <t>Metodo</t>
  </si>
  <si>
    <t>a</t>
  </si>
  <si>
    <t>b</t>
  </si>
  <si>
    <t>Intervalos</t>
  </si>
  <si>
    <t>Error</t>
  </si>
  <si>
    <t>Pto. Inicio</t>
  </si>
  <si>
    <t>x^10</t>
  </si>
  <si>
    <t>x^20</t>
  </si>
  <si>
    <t>x^30</t>
  </si>
  <si>
    <t>x^40</t>
  </si>
  <si>
    <t>x^50</t>
  </si>
  <si>
    <t>x^60</t>
  </si>
  <si>
    <t>x^70</t>
  </si>
  <si>
    <t>x^80</t>
  </si>
  <si>
    <t>x^90</t>
  </si>
  <si>
    <t>x^100</t>
  </si>
  <si>
    <t>x^19</t>
  </si>
  <si>
    <t>x^21</t>
  </si>
  <si>
    <t>x^22</t>
  </si>
  <si>
    <t>x^23</t>
  </si>
  <si>
    <t>x^24</t>
  </si>
  <si>
    <t>x^25</t>
  </si>
  <si>
    <t>x^26</t>
  </si>
  <si>
    <t>x^27</t>
  </si>
  <si>
    <t>x^29</t>
  </si>
  <si>
    <t>x^39</t>
  </si>
  <si>
    <t>x^49</t>
  </si>
  <si>
    <t>x^59</t>
  </si>
  <si>
    <t>x^69</t>
  </si>
  <si>
    <t>x^79</t>
  </si>
  <si>
    <t>x^89</t>
  </si>
  <si>
    <t>x^99</t>
  </si>
  <si>
    <t>x^18</t>
  </si>
  <si>
    <t>x^28</t>
  </si>
  <si>
    <t>x^38</t>
  </si>
  <si>
    <t>x^48</t>
  </si>
  <si>
    <t>x^58</t>
  </si>
  <si>
    <t>x^68</t>
  </si>
  <si>
    <t>x^78</t>
  </si>
  <si>
    <t>x^88</t>
  </si>
  <si>
    <t>x^98</t>
  </si>
  <si>
    <t>x^17</t>
  </si>
  <si>
    <t>x^37</t>
  </si>
  <si>
    <t>x^47</t>
  </si>
  <si>
    <t>x^57</t>
  </si>
  <si>
    <t>x^67</t>
  </si>
  <si>
    <t>x^77</t>
  </si>
  <si>
    <t>x^87</t>
  </si>
  <si>
    <t>x^97</t>
  </si>
  <si>
    <t>x^16</t>
  </si>
  <si>
    <t>x^36</t>
  </si>
  <si>
    <t>x^46</t>
  </si>
  <si>
    <t>x^56</t>
  </si>
  <si>
    <t>x^66</t>
  </si>
  <si>
    <t>x^76</t>
  </si>
  <si>
    <t>x^86</t>
  </si>
  <si>
    <t>x^96</t>
  </si>
  <si>
    <t>x^15</t>
  </si>
  <si>
    <t>x^35</t>
  </si>
  <si>
    <t>x^45</t>
  </si>
  <si>
    <t>x^55</t>
  </si>
  <si>
    <t>x^65</t>
  </si>
  <si>
    <t>x^75</t>
  </si>
  <si>
    <t>x^85</t>
  </si>
  <si>
    <t>x^95</t>
  </si>
  <si>
    <t>x^14</t>
  </si>
  <si>
    <t>x^34</t>
  </si>
  <si>
    <t>x^44</t>
  </si>
  <si>
    <t>x^54</t>
  </si>
  <si>
    <t>x^64</t>
  </si>
  <si>
    <t>x^74</t>
  </si>
  <si>
    <t>x^84</t>
  </si>
  <si>
    <t>x^94</t>
  </si>
  <si>
    <t>x^13</t>
  </si>
  <si>
    <t>x^33</t>
  </si>
  <si>
    <t>x^43</t>
  </si>
  <si>
    <t>x^53</t>
  </si>
  <si>
    <t>x^63</t>
  </si>
  <si>
    <t>x^73</t>
  </si>
  <si>
    <t>x^83</t>
  </si>
  <si>
    <t>x^93</t>
  </si>
  <si>
    <t>x^12</t>
  </si>
  <si>
    <t>x^32</t>
  </si>
  <si>
    <t>x^42</t>
  </si>
  <si>
    <t>x^52</t>
  </si>
  <si>
    <t>x^62</t>
  </si>
  <si>
    <t>x^72</t>
  </si>
  <si>
    <t>x^82</t>
  </si>
  <si>
    <t>x^92</t>
  </si>
  <si>
    <t>x^11</t>
  </si>
  <si>
    <t>x^31</t>
  </si>
  <si>
    <t>x^41</t>
  </si>
  <si>
    <t>x^51</t>
  </si>
  <si>
    <t>x^61</t>
  </si>
  <si>
    <t>x^71</t>
  </si>
  <si>
    <t>x^81</t>
  </si>
  <si>
    <t>x^91</t>
  </si>
  <si>
    <t>Tabla de resultados</t>
  </si>
  <si>
    <t>xn</t>
  </si>
  <si>
    <t>xn+1</t>
  </si>
  <si>
    <t>f´</t>
  </si>
  <si>
    <t>f</t>
  </si>
  <si>
    <t>error</t>
  </si>
  <si>
    <t>f(xn)</t>
  </si>
  <si>
    <t>f´(xn)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</si>
</sst>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2" borderId="0" xfId="0" applyFill="1" applyBorder="1"/>
    <xf numFmtId="0" fontId="0" fillId="0" borderId="1" xfId="0" applyBorder="1"/>
    <xf numFmtId="0" fontId="0" fillId="3" borderId="1" xfId="0" applyFill="1" applyBorder="1"/>
    <xf numFmtId="0" fontId="0" fillId="2" borderId="1" xfId="0" applyFill="1" applyBorder="1"/>
    <xf numFmtId="0" fontId="0" fillId="3" borderId="2" xfId="0" applyFill="1" applyBorder="1"/>
    <xf numFmtId="0" fontId="0" fillId="0" borderId="0" xfId="0" applyBorder="1"/>
    <xf numFmtId="0" fontId="0" fillId="2" borderId="4" xfId="0" applyFill="1" applyBorder="1"/>
    <xf numFmtId="0" fontId="0" fillId="3" borderId="3" xfId="0" applyFill="1" applyBorder="1"/>
    <xf numFmtId="0" fontId="0" fillId="3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</cellXfs>
  <cellStyles count="1">
    <cellStyle name="Normal" xfId="0" builtinId="0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657225</xdr:colOff>
      <xdr:row>3</xdr:row>
      <xdr:rowOff>19050</xdr:rowOff>
    </xdr:from>
    <xdr:to>
      <xdr:col>8</xdr:col>
      <xdr:colOff>714375</xdr:colOff>
      <xdr:row>4</xdr:row>
      <xdr:rowOff>28575</xdr:rowOff>
    </xdr:to>
    <xdr:sp macro="[0]!limpiarr" textlink="">
      <xdr:nvSpPr>
        <xdr:cNvPr id="3" name="CuadroTexto 2"/>
        <xdr:cNvSpPr txBox="1"/>
      </xdr:nvSpPr>
      <xdr:spPr>
        <a:xfrm>
          <a:off x="6267450" y="590550"/>
          <a:ext cx="819150" cy="200025"/>
        </a:xfrm>
        <a:prstGeom prst="rect">
          <a:avLst/>
        </a:prstGeom>
        <a:ln/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100"/>
            <a:t>Limpiar</a:t>
          </a:r>
        </a:p>
      </xdr:txBody>
    </xdr:sp>
    <xdr:clientData/>
  </xdr:twoCellAnchor>
  <xdr:twoCellAnchor>
    <xdr:from>
      <xdr:col>3</xdr:col>
      <xdr:colOff>19050</xdr:colOff>
      <xdr:row>1</xdr:row>
      <xdr:rowOff>161925</xdr:rowOff>
    </xdr:from>
    <xdr:to>
      <xdr:col>4</xdr:col>
      <xdr:colOff>209550</xdr:colOff>
      <xdr:row>3</xdr:row>
      <xdr:rowOff>38100</xdr:rowOff>
    </xdr:to>
    <xdr:sp macro="[0]!aceptar" textlink="">
      <xdr:nvSpPr>
        <xdr:cNvPr id="2" name="CuadroTexto 1"/>
        <xdr:cNvSpPr txBox="1"/>
      </xdr:nvSpPr>
      <xdr:spPr>
        <a:xfrm>
          <a:off x="2581275" y="352425"/>
          <a:ext cx="952500" cy="257175"/>
        </a:xfrm>
        <a:prstGeom prst="rect">
          <a:avLst/>
        </a:prstGeom>
        <a:ln/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es-CO" sz="1100"/>
            <a:t>Aceptar</a:t>
          </a:r>
        </a:p>
      </xdr:txBody>
    </xdr:sp>
    <xdr:clientData/>
  </xdr:twoCellAnchor>
  <xdr:twoCellAnchor>
    <xdr:from>
      <xdr:col>3</xdr:col>
      <xdr:colOff>9525</xdr:colOff>
      <xdr:row>7</xdr:row>
      <xdr:rowOff>133350</xdr:rowOff>
    </xdr:from>
    <xdr:to>
      <xdr:col>4</xdr:col>
      <xdr:colOff>219075</xdr:colOff>
      <xdr:row>9</xdr:row>
      <xdr:rowOff>38100</xdr:rowOff>
    </xdr:to>
    <xdr:sp macro="[0]!aceptarb" textlink="">
      <xdr:nvSpPr>
        <xdr:cNvPr id="4" name="CuadroTexto 3"/>
        <xdr:cNvSpPr txBox="1"/>
      </xdr:nvSpPr>
      <xdr:spPr>
        <a:xfrm>
          <a:off x="2571750" y="1466850"/>
          <a:ext cx="971550" cy="285750"/>
        </a:xfrm>
        <a:prstGeom prst="rect">
          <a:avLst/>
        </a:prstGeom>
        <a:ln/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100"/>
            <a:t>Aceptar</a:t>
          </a:r>
        </a:p>
      </xdr:txBody>
    </xdr:sp>
    <xdr:clientData/>
  </xdr:twoCellAnchor>
  <xdr:twoCellAnchor>
    <xdr:from>
      <xdr:col>9</xdr:col>
      <xdr:colOff>276225</xdr:colOff>
      <xdr:row>9</xdr:row>
      <xdr:rowOff>123825</xdr:rowOff>
    </xdr:from>
    <xdr:to>
      <xdr:col>10</xdr:col>
      <xdr:colOff>314325</xdr:colOff>
      <xdr:row>10</xdr:row>
      <xdr:rowOff>152400</xdr:rowOff>
    </xdr:to>
    <xdr:sp macro="[0]!procedimiento" textlink="">
      <xdr:nvSpPr>
        <xdr:cNvPr id="5" name="CuadroTexto 4"/>
        <xdr:cNvSpPr txBox="1"/>
      </xdr:nvSpPr>
      <xdr:spPr>
        <a:xfrm>
          <a:off x="7410450" y="1838325"/>
          <a:ext cx="800100" cy="219075"/>
        </a:xfrm>
        <a:prstGeom prst="rect">
          <a:avLst/>
        </a:prstGeom>
        <a:ln/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100"/>
            <a:t>Calcular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3:J628"/>
  <sheetViews>
    <sheetView tabSelected="1" workbookViewId="0">
      <selection activeCell="C4" sqref="C4"/>
    </sheetView>
  </sheetViews>
  <sheetFormatPr baseColWidth="10" defaultRowHeight="15" x14ac:dyDescent="0.25"/>
  <cols>
    <col min="2" max="2" width="15.5703125" customWidth="1"/>
  </cols>
  <sheetData>
    <row r="3" spans="2:9" x14ac:dyDescent="0.25">
      <c r="B3" s="5" t="s">
        <v>0</v>
      </c>
      <c r="C3" s="1"/>
    </row>
    <row r="4" spans="2:9" ht="16.5" customHeight="1" x14ac:dyDescent="0.25">
      <c r="B4" s="1"/>
      <c r="C4" s="1"/>
      <c r="D4" s="1"/>
      <c r="E4" s="1"/>
      <c r="F4" s="1"/>
      <c r="G4" s="1"/>
      <c r="H4" s="1"/>
      <c r="I4" s="1"/>
    </row>
    <row r="5" spans="2:9" s="1" customFormat="1" x14ac:dyDescent="0.25"/>
    <row r="6" spans="2:9" s="1" customFormat="1" x14ac:dyDescent="0.25"/>
    <row r="7" spans="2:9" s="1" customFormat="1" x14ac:dyDescent="0.25"/>
    <row r="8" spans="2:9" s="1" customFormat="1" x14ac:dyDescent="0.25"/>
    <row r="9" spans="2:9" s="1" customFormat="1" x14ac:dyDescent="0.25">
      <c r="B9" s="3" t="s">
        <v>14</v>
      </c>
      <c r="C9" s="4"/>
    </row>
    <row r="10" spans="2:9" s="1" customFormat="1" x14ac:dyDescent="0.25"/>
    <row r="11" spans="2:9" s="1" customFormat="1" x14ac:dyDescent="0.25"/>
    <row r="12" spans="2:9" s="1" customFormat="1" x14ac:dyDescent="0.25"/>
    <row r="13" spans="2:9" s="1" customFormat="1" x14ac:dyDescent="0.25"/>
    <row r="14" spans="2:9" s="1" customFormat="1" x14ac:dyDescent="0.25"/>
    <row r="15" spans="2:9" s="1" customFormat="1" x14ac:dyDescent="0.25">
      <c r="C15" s="11"/>
      <c r="D15" s="11"/>
    </row>
    <row r="16" spans="2:9" s="1" customFormat="1" x14ac:dyDescent="0.25">
      <c r="C16" s="12"/>
      <c r="D16" s="12"/>
    </row>
    <row r="17" s="1" customFormat="1" x14ac:dyDescent="0.25"/>
    <row r="18" s="1" customFormat="1" x14ac:dyDescent="0.25"/>
    <row r="19" s="1" customFormat="1" x14ac:dyDescent="0.25"/>
    <row r="20" s="1" customFormat="1" x14ac:dyDescent="0.25"/>
    <row r="21" s="1" customFormat="1" x14ac:dyDescent="0.25"/>
    <row r="22" s="1" customFormat="1" x14ac:dyDescent="0.25"/>
    <row r="23" s="1" customFormat="1" x14ac:dyDescent="0.25"/>
    <row r="24" s="1" customFormat="1" x14ac:dyDescent="0.25"/>
    <row r="25" s="1" customFormat="1" x14ac:dyDescent="0.25"/>
    <row r="26" s="1" customFormat="1" x14ac:dyDescent="0.25"/>
    <row r="27" s="1" customFormat="1" x14ac:dyDescent="0.25"/>
    <row r="28" s="1" customFormat="1" x14ac:dyDescent="0.25"/>
    <row r="29" s="1" customFormat="1" x14ac:dyDescent="0.25"/>
    <row r="30" s="1" customFormat="1" x14ac:dyDescent="0.25"/>
    <row r="31" s="1" customFormat="1" x14ac:dyDescent="0.25"/>
    <row r="32" s="1" customFormat="1" x14ac:dyDescent="0.25"/>
    <row r="33" s="1" customFormat="1" x14ac:dyDescent="0.25"/>
    <row r="34" s="1" customFormat="1" x14ac:dyDescent="0.25"/>
    <row r="35" s="1" customFormat="1" x14ac:dyDescent="0.25"/>
    <row r="36" s="1" customFormat="1" x14ac:dyDescent="0.25"/>
    <row r="37" s="1" customFormat="1" x14ac:dyDescent="0.25"/>
    <row r="38" s="1" customFormat="1" x14ac:dyDescent="0.25"/>
    <row r="39" s="1" customFormat="1" x14ac:dyDescent="0.25"/>
    <row r="40" s="1" customFormat="1" x14ac:dyDescent="0.25"/>
    <row r="41" s="1" customFormat="1" x14ac:dyDescent="0.25"/>
    <row r="42" s="1" customFormat="1" x14ac:dyDescent="0.25"/>
    <row r="43" s="1" customFormat="1" x14ac:dyDescent="0.25"/>
    <row r="44" s="1" customFormat="1" x14ac:dyDescent="0.25"/>
    <row r="45" s="1" customFormat="1" x14ac:dyDescent="0.25"/>
    <row r="46" s="1" customFormat="1" x14ac:dyDescent="0.25"/>
    <row r="47" s="1" customFormat="1" x14ac:dyDescent="0.25"/>
    <row r="48" s="1" customFormat="1" x14ac:dyDescent="0.25"/>
    <row r="49" s="1" customFormat="1" x14ac:dyDescent="0.25"/>
    <row r="50" s="1" customFormat="1" x14ac:dyDescent="0.25"/>
    <row r="51" s="1" customFormat="1" x14ac:dyDescent="0.25"/>
    <row r="52" s="1" customFormat="1" x14ac:dyDescent="0.25"/>
    <row r="53" s="1" customFormat="1" x14ac:dyDescent="0.25"/>
    <row r="54" s="1" customFormat="1" x14ac:dyDescent="0.25"/>
    <row r="55" s="1" customFormat="1" x14ac:dyDescent="0.25"/>
    <row r="56" s="1" customFormat="1" x14ac:dyDescent="0.25"/>
    <row r="57" s="1" customFormat="1" x14ac:dyDescent="0.25"/>
    <row r="58" s="1" customFormat="1" x14ac:dyDescent="0.25"/>
    <row r="59" s="1" customFormat="1" x14ac:dyDescent="0.25"/>
    <row r="60" s="1" customFormat="1" x14ac:dyDescent="0.25"/>
    <row r="61" s="1" customFormat="1" x14ac:dyDescent="0.25"/>
    <row r="62" s="1" customFormat="1" x14ac:dyDescent="0.25"/>
    <row r="63" s="1" customFormat="1" x14ac:dyDescent="0.25"/>
    <row r="64" s="1" customFormat="1" x14ac:dyDescent="0.25"/>
    <row r="65" s="1" customFormat="1" x14ac:dyDescent="0.25"/>
    <row r="66" s="1" customFormat="1" x14ac:dyDescent="0.25"/>
    <row r="67" s="1" customFormat="1" x14ac:dyDescent="0.25"/>
    <row r="68" s="1" customFormat="1" x14ac:dyDescent="0.25"/>
    <row r="69" s="1" customFormat="1" x14ac:dyDescent="0.25"/>
    <row r="70" s="1" customFormat="1" x14ac:dyDescent="0.25"/>
    <row r="71" s="1" customFormat="1" x14ac:dyDescent="0.25"/>
    <row r="72" s="1" customFormat="1" x14ac:dyDescent="0.25"/>
    <row r="73" s="1" customFormat="1" x14ac:dyDescent="0.25"/>
    <row r="74" s="1" customFormat="1" x14ac:dyDescent="0.25"/>
    <row r="75" s="1" customFormat="1" x14ac:dyDescent="0.25"/>
    <row r="76" s="1" customFormat="1" x14ac:dyDescent="0.25"/>
    <row r="77" s="1" customFormat="1" x14ac:dyDescent="0.25"/>
    <row r="78" s="1" customFormat="1" x14ac:dyDescent="0.25"/>
    <row r="79" s="1" customFormat="1" x14ac:dyDescent="0.25"/>
    <row r="80" s="1" customFormat="1" x14ac:dyDescent="0.25"/>
    <row r="81" s="1" customFormat="1" x14ac:dyDescent="0.25"/>
    <row r="82" s="1" customFormat="1" x14ac:dyDescent="0.25"/>
    <row r="83" s="1" customFormat="1" x14ac:dyDescent="0.25"/>
    <row r="84" s="1" customFormat="1" x14ac:dyDescent="0.25"/>
    <row r="85" s="1" customFormat="1" x14ac:dyDescent="0.25"/>
    <row r="86" s="1" customFormat="1" x14ac:dyDescent="0.25"/>
    <row r="87" s="1" customFormat="1" x14ac:dyDescent="0.25"/>
    <row r="88" s="1" customFormat="1" x14ac:dyDescent="0.25"/>
    <row r="89" s="1" customFormat="1" x14ac:dyDescent="0.25"/>
    <row r="90" s="1" customFormat="1" x14ac:dyDescent="0.25"/>
    <row r="91" s="1" customFormat="1" x14ac:dyDescent="0.25"/>
    <row r="92" s="1" customFormat="1" x14ac:dyDescent="0.25"/>
    <row r="93" s="1" customFormat="1" x14ac:dyDescent="0.25"/>
    <row r="94" s="1" customFormat="1" x14ac:dyDescent="0.25"/>
    <row r="95" s="1" customFormat="1" x14ac:dyDescent="0.25"/>
    <row r="96" s="1" customFormat="1" x14ac:dyDescent="0.25"/>
    <row r="97" s="1" customFormat="1" x14ac:dyDescent="0.25"/>
    <row r="98" s="1" customFormat="1" x14ac:dyDescent="0.25"/>
    <row r="99" s="1" customFormat="1" x14ac:dyDescent="0.25"/>
    <row r="100" s="1" customFormat="1" x14ac:dyDescent="0.25"/>
    <row r="101" s="1" customFormat="1" x14ac:dyDescent="0.25"/>
    <row r="102" s="1" customFormat="1" x14ac:dyDescent="0.25"/>
    <row r="103" s="1" customFormat="1" x14ac:dyDescent="0.25"/>
    <row r="104" s="1" customFormat="1" x14ac:dyDescent="0.25"/>
    <row r="105" s="1" customFormat="1" x14ac:dyDescent="0.25"/>
    <row r="106" s="1" customFormat="1" x14ac:dyDescent="0.25"/>
    <row r="107" s="1" customFormat="1" x14ac:dyDescent="0.25"/>
    <row r="108" s="1" customFormat="1" x14ac:dyDescent="0.25"/>
    <row r="109" s="1" customFormat="1" x14ac:dyDescent="0.25"/>
    <row r="110" s="1" customFormat="1" x14ac:dyDescent="0.25"/>
    <row r="111" s="1" customFormat="1" x14ac:dyDescent="0.25"/>
    <row r="112" s="1" customFormat="1" x14ac:dyDescent="0.25"/>
    <row r="113" s="1" customFormat="1" x14ac:dyDescent="0.25"/>
    <row r="114" s="1" customFormat="1" x14ac:dyDescent="0.25"/>
    <row r="115" s="1" customFormat="1" x14ac:dyDescent="0.25"/>
    <row r="116" s="1" customFormat="1" x14ac:dyDescent="0.25"/>
    <row r="117" s="1" customFormat="1" x14ac:dyDescent="0.25"/>
    <row r="118" s="1" customFormat="1" x14ac:dyDescent="0.25"/>
    <row r="119" s="1" customFormat="1" x14ac:dyDescent="0.25"/>
    <row r="120" s="1" customFormat="1" x14ac:dyDescent="0.25"/>
    <row r="121" s="1" customFormat="1" x14ac:dyDescent="0.25"/>
    <row r="122" s="1" customFormat="1" x14ac:dyDescent="0.25"/>
    <row r="123" s="1" customFormat="1" x14ac:dyDescent="0.25"/>
    <row r="124" s="1" customFormat="1" x14ac:dyDescent="0.25"/>
    <row r="125" s="1" customFormat="1" x14ac:dyDescent="0.25"/>
    <row r="126" s="1" customFormat="1" x14ac:dyDescent="0.25"/>
    <row r="127" s="1" customFormat="1" x14ac:dyDescent="0.25"/>
    <row r="128" s="1" customFormat="1" x14ac:dyDescent="0.25"/>
    <row r="129" s="1" customFormat="1" x14ac:dyDescent="0.25"/>
    <row r="130" s="1" customFormat="1" x14ac:dyDescent="0.25"/>
    <row r="131" s="1" customFormat="1" x14ac:dyDescent="0.25"/>
    <row r="132" s="1" customFormat="1" x14ac:dyDescent="0.25"/>
    <row r="133" s="1" customFormat="1" x14ac:dyDescent="0.25"/>
    <row r="134" s="1" customFormat="1" x14ac:dyDescent="0.25"/>
    <row r="135" s="1" customFormat="1" x14ac:dyDescent="0.25"/>
    <row r="136" s="1" customFormat="1" x14ac:dyDescent="0.25"/>
    <row r="137" s="1" customFormat="1" x14ac:dyDescent="0.25"/>
    <row r="138" s="1" customFormat="1" x14ac:dyDescent="0.25"/>
    <row r="139" s="1" customFormat="1" x14ac:dyDescent="0.25"/>
    <row r="140" s="1" customFormat="1" x14ac:dyDescent="0.25"/>
    <row r="141" s="1" customFormat="1" x14ac:dyDescent="0.25"/>
    <row r="142" s="1" customFormat="1" x14ac:dyDescent="0.25"/>
    <row r="143" s="1" customFormat="1" x14ac:dyDescent="0.25"/>
    <row r="144" s="1" customFormat="1" x14ac:dyDescent="0.25"/>
    <row r="145" s="1" customFormat="1" x14ac:dyDescent="0.25"/>
    <row r="146" s="1" customFormat="1" x14ac:dyDescent="0.25"/>
    <row r="147" s="1" customFormat="1" x14ac:dyDescent="0.25"/>
    <row r="148" s="1" customFormat="1" x14ac:dyDescent="0.25"/>
    <row r="149" s="1" customFormat="1" x14ac:dyDescent="0.25"/>
    <row r="150" s="1" customFormat="1" x14ac:dyDescent="0.25"/>
    <row r="151" s="1" customFormat="1" x14ac:dyDescent="0.25"/>
    <row r="152" s="1" customFormat="1" x14ac:dyDescent="0.25"/>
    <row r="153" s="1" customFormat="1" x14ac:dyDescent="0.25"/>
    <row r="154" s="1" customFormat="1" x14ac:dyDescent="0.25"/>
    <row r="155" s="1" customFormat="1" x14ac:dyDescent="0.25"/>
    <row r="156" s="1" customFormat="1" x14ac:dyDescent="0.25"/>
    <row r="157" s="1" customFormat="1" x14ac:dyDescent="0.25"/>
    <row r="158" s="1" customFormat="1" x14ac:dyDescent="0.25"/>
    <row r="159" s="1" customFormat="1" x14ac:dyDescent="0.25"/>
    <row r="160" s="1" customFormat="1" x14ac:dyDescent="0.25"/>
    <row r="161" s="1" customFormat="1" x14ac:dyDescent="0.25"/>
    <row r="162" s="1" customFormat="1" x14ac:dyDescent="0.25"/>
    <row r="163" s="1" customFormat="1" x14ac:dyDescent="0.25"/>
    <row r="164" s="1" customFormat="1" x14ac:dyDescent="0.25"/>
    <row r="165" s="1" customFormat="1" x14ac:dyDescent="0.25"/>
    <row r="166" s="1" customFormat="1" x14ac:dyDescent="0.25"/>
    <row r="167" s="1" customFormat="1" x14ac:dyDescent="0.25"/>
    <row r="168" s="1" customFormat="1" x14ac:dyDescent="0.25"/>
    <row r="169" s="1" customFormat="1" x14ac:dyDescent="0.25"/>
    <row r="170" s="1" customFormat="1" x14ac:dyDescent="0.25"/>
    <row r="171" s="1" customFormat="1" x14ac:dyDescent="0.25"/>
    <row r="172" s="1" customFormat="1" x14ac:dyDescent="0.25"/>
    <row r="173" s="1" customFormat="1" x14ac:dyDescent="0.25"/>
    <row r="174" s="1" customFormat="1" x14ac:dyDescent="0.25"/>
    <row r="175" s="1" customFormat="1" x14ac:dyDescent="0.25"/>
    <row r="176" s="1" customFormat="1" x14ac:dyDescent="0.25"/>
    <row r="177" s="1" customFormat="1" x14ac:dyDescent="0.25"/>
    <row r="178" s="1" customFormat="1" x14ac:dyDescent="0.25"/>
    <row r="179" s="1" customFormat="1" x14ac:dyDescent="0.25"/>
    <row r="180" s="1" customFormat="1" x14ac:dyDescent="0.25"/>
    <row r="181" s="1" customFormat="1" x14ac:dyDescent="0.25"/>
    <row r="182" s="1" customFormat="1" x14ac:dyDescent="0.25"/>
    <row r="183" s="1" customFormat="1" x14ac:dyDescent="0.25"/>
    <row r="184" s="1" customFormat="1" x14ac:dyDescent="0.25"/>
    <row r="185" s="1" customFormat="1" x14ac:dyDescent="0.25"/>
    <row r="186" s="1" customFormat="1" x14ac:dyDescent="0.25"/>
    <row r="187" s="1" customFormat="1" x14ac:dyDescent="0.25"/>
    <row r="188" s="1" customFormat="1" x14ac:dyDescent="0.25"/>
    <row r="189" s="1" customFormat="1" x14ac:dyDescent="0.25"/>
    <row r="190" s="1" customFormat="1" x14ac:dyDescent="0.25"/>
    <row r="191" s="1" customFormat="1" x14ac:dyDescent="0.25"/>
    <row r="192" s="1" customFormat="1" x14ac:dyDescent="0.25"/>
    <row r="193" s="1" customFormat="1" x14ac:dyDescent="0.25"/>
    <row r="194" s="1" customFormat="1" x14ac:dyDescent="0.25"/>
    <row r="195" s="1" customFormat="1" x14ac:dyDescent="0.25"/>
    <row r="196" s="1" customFormat="1" x14ac:dyDescent="0.25"/>
    <row r="197" s="1" customFormat="1" x14ac:dyDescent="0.25"/>
    <row r="198" s="1" customFormat="1" x14ac:dyDescent="0.25"/>
    <row r="199" s="1" customFormat="1" x14ac:dyDescent="0.25"/>
    <row r="200" s="1" customFormat="1" x14ac:dyDescent="0.25"/>
    <row r="201" s="1" customFormat="1" x14ac:dyDescent="0.25"/>
    <row r="202" s="1" customFormat="1" x14ac:dyDescent="0.25"/>
    <row r="203" s="1" customFormat="1" x14ac:dyDescent="0.25"/>
    <row r="204" s="1" customFormat="1" x14ac:dyDescent="0.25"/>
    <row r="205" s="1" customFormat="1" x14ac:dyDescent="0.25"/>
    <row r="206" s="1" customFormat="1" x14ac:dyDescent="0.25"/>
    <row r="207" s="1" customFormat="1" x14ac:dyDescent="0.25"/>
    <row r="208" s="1" customFormat="1" x14ac:dyDescent="0.25"/>
    <row r="209" s="1" customFormat="1" x14ac:dyDescent="0.25"/>
    <row r="210" s="1" customFormat="1" x14ac:dyDescent="0.25"/>
    <row r="211" s="1" customFormat="1" x14ac:dyDescent="0.25"/>
    <row r="212" s="1" customFormat="1" x14ac:dyDescent="0.25"/>
    <row r="213" s="1" customFormat="1" x14ac:dyDescent="0.25"/>
    <row r="214" s="1" customFormat="1" x14ac:dyDescent="0.25"/>
    <row r="215" s="1" customFormat="1" x14ac:dyDescent="0.25"/>
    <row r="216" s="1" customFormat="1" x14ac:dyDescent="0.25"/>
    <row r="217" s="1" customFormat="1" x14ac:dyDescent="0.25"/>
    <row r="218" s="1" customFormat="1" x14ac:dyDescent="0.25"/>
    <row r="219" s="1" customFormat="1" x14ac:dyDescent="0.25"/>
    <row r="220" s="1" customFormat="1" x14ac:dyDescent="0.25"/>
    <row r="221" s="1" customFormat="1" x14ac:dyDescent="0.25"/>
    <row r="222" s="1" customFormat="1" x14ac:dyDescent="0.25"/>
    <row r="223" s="1" customFormat="1" x14ac:dyDescent="0.25"/>
    <row r="224" s="1" customFormat="1" x14ac:dyDescent="0.25"/>
    <row r="225" s="1" customFormat="1" x14ac:dyDescent="0.25"/>
    <row r="226" s="1" customFormat="1" x14ac:dyDescent="0.25"/>
    <row r="227" s="1" customFormat="1" x14ac:dyDescent="0.25"/>
    <row r="228" s="1" customFormat="1" x14ac:dyDescent="0.25"/>
    <row r="229" s="1" customFormat="1" x14ac:dyDescent="0.25"/>
    <row r="230" s="1" customFormat="1" x14ac:dyDescent="0.25"/>
    <row r="231" s="1" customFormat="1" x14ac:dyDescent="0.25"/>
    <row r="232" s="1" customFormat="1" x14ac:dyDescent="0.25"/>
    <row r="233" s="1" customFormat="1" x14ac:dyDescent="0.25"/>
    <row r="234" s="1" customFormat="1" x14ac:dyDescent="0.25"/>
    <row r="235" s="1" customFormat="1" x14ac:dyDescent="0.25"/>
    <row r="236" s="1" customFormat="1" x14ac:dyDescent="0.25"/>
    <row r="237" s="1" customFormat="1" x14ac:dyDescent="0.25"/>
    <row r="238" s="1" customFormat="1" x14ac:dyDescent="0.25"/>
    <row r="239" s="1" customFormat="1" x14ac:dyDescent="0.25"/>
    <row r="240" s="1" customFormat="1" x14ac:dyDescent="0.25"/>
    <row r="241" s="1" customFormat="1" x14ac:dyDescent="0.25"/>
    <row r="242" s="1" customFormat="1" x14ac:dyDescent="0.25"/>
    <row r="243" s="1" customFormat="1" x14ac:dyDescent="0.25"/>
    <row r="244" s="1" customFormat="1" x14ac:dyDescent="0.25"/>
    <row r="245" s="1" customFormat="1" x14ac:dyDescent="0.25"/>
    <row r="246" s="1" customFormat="1" x14ac:dyDescent="0.25"/>
    <row r="247" s="1" customFormat="1" x14ac:dyDescent="0.25"/>
    <row r="248" s="1" customFormat="1" x14ac:dyDescent="0.25"/>
    <row r="249" s="1" customFormat="1" x14ac:dyDescent="0.25"/>
    <row r="250" s="1" customFormat="1" x14ac:dyDescent="0.25"/>
    <row r="251" s="1" customFormat="1" x14ac:dyDescent="0.25"/>
    <row r="252" s="1" customFormat="1" x14ac:dyDescent="0.25"/>
    <row r="253" s="1" customFormat="1" x14ac:dyDescent="0.25"/>
    <row r="254" s="1" customFormat="1" x14ac:dyDescent="0.25"/>
    <row r="255" s="1" customFormat="1" x14ac:dyDescent="0.25"/>
    <row r="256" s="1" customFormat="1" x14ac:dyDescent="0.25"/>
    <row r="257" spans="10:10" s="1" customFormat="1" x14ac:dyDescent="0.25"/>
    <row r="258" spans="10:10" s="1" customFormat="1" x14ac:dyDescent="0.25"/>
    <row r="259" spans="10:10" s="1" customFormat="1" x14ac:dyDescent="0.25"/>
    <row r="260" spans="10:10" s="1" customFormat="1" x14ac:dyDescent="0.25"/>
    <row r="261" spans="10:10" s="1" customFormat="1" x14ac:dyDescent="0.25"/>
    <row r="262" spans="10:10" s="1" customFormat="1" x14ac:dyDescent="0.25"/>
    <row r="263" spans="10:10" s="1" customFormat="1" x14ac:dyDescent="0.25"/>
    <row r="264" spans="10:10" s="1" customFormat="1" x14ac:dyDescent="0.25"/>
    <row r="265" spans="10:10" s="1" customFormat="1" x14ac:dyDescent="0.25"/>
    <row r="266" spans="10:10" s="1" customFormat="1" x14ac:dyDescent="0.25"/>
    <row r="267" spans="10:10" s="1" customFormat="1" x14ac:dyDescent="0.25"/>
    <row r="268" spans="10:10" s="1" customFormat="1" x14ac:dyDescent="0.25"/>
    <row r="269" spans="10:10" s="1" customFormat="1" x14ac:dyDescent="0.25"/>
    <row r="270" spans="10:10" s="1" customFormat="1" x14ac:dyDescent="0.25"/>
    <row r="271" spans="10:10" s="1" customFormat="1" x14ac:dyDescent="0.25"/>
    <row r="272" spans="10:10" x14ac:dyDescent="0.25">
      <c r="J272" s="6"/>
    </row>
    <row r="273" spans="10:10" x14ac:dyDescent="0.25">
      <c r="J273" s="6"/>
    </row>
    <row r="274" spans="10:10" x14ac:dyDescent="0.25">
      <c r="J274" s="6"/>
    </row>
    <row r="275" spans="10:10" x14ac:dyDescent="0.25">
      <c r="J275" s="6"/>
    </row>
    <row r="276" spans="10:10" x14ac:dyDescent="0.25">
      <c r="J276" s="6"/>
    </row>
    <row r="277" spans="10:10" x14ac:dyDescent="0.25">
      <c r="J277" s="6"/>
    </row>
    <row r="278" spans="10:10" x14ac:dyDescent="0.25">
      <c r="J278" s="6"/>
    </row>
    <row r="279" spans="10:10" x14ac:dyDescent="0.25">
      <c r="J279" s="6"/>
    </row>
    <row r="280" spans="10:10" x14ac:dyDescent="0.25">
      <c r="J280" s="6"/>
    </row>
    <row r="281" spans="10:10" x14ac:dyDescent="0.25">
      <c r="J281" s="6"/>
    </row>
    <row r="282" spans="10:10" x14ac:dyDescent="0.25">
      <c r="J282" s="6"/>
    </row>
    <row r="283" spans="10:10" x14ac:dyDescent="0.25">
      <c r="J283" s="6"/>
    </row>
    <row r="284" spans="10:10" x14ac:dyDescent="0.25">
      <c r="J284" s="6"/>
    </row>
    <row r="285" spans="10:10" x14ac:dyDescent="0.25">
      <c r="J285" s="6"/>
    </row>
    <row r="286" spans="10:10" x14ac:dyDescent="0.25">
      <c r="J286" s="6"/>
    </row>
    <row r="287" spans="10:10" x14ac:dyDescent="0.25">
      <c r="J287" s="6"/>
    </row>
    <row r="288" spans="10:10" x14ac:dyDescent="0.25">
      <c r="J288" s="6"/>
    </row>
    <row r="289" spans="10:10" x14ac:dyDescent="0.25">
      <c r="J289" s="6"/>
    </row>
    <row r="290" spans="10:10" x14ac:dyDescent="0.25">
      <c r="J290" s="6"/>
    </row>
    <row r="291" spans="10:10" x14ac:dyDescent="0.25">
      <c r="J291" s="6"/>
    </row>
    <row r="292" spans="10:10" x14ac:dyDescent="0.25">
      <c r="J292" s="6"/>
    </row>
    <row r="293" spans="10:10" x14ac:dyDescent="0.25">
      <c r="J293" s="6"/>
    </row>
    <row r="294" spans="10:10" x14ac:dyDescent="0.25">
      <c r="J294" s="6"/>
    </row>
    <row r="295" spans="10:10" x14ac:dyDescent="0.25">
      <c r="J295" s="6"/>
    </row>
    <row r="296" spans="10:10" x14ac:dyDescent="0.25">
      <c r="J296" s="6"/>
    </row>
    <row r="297" spans="10:10" x14ac:dyDescent="0.25">
      <c r="J297" s="6"/>
    </row>
    <row r="298" spans="10:10" x14ac:dyDescent="0.25">
      <c r="J298" s="6"/>
    </row>
    <row r="299" spans="10:10" x14ac:dyDescent="0.25">
      <c r="J299" s="6"/>
    </row>
    <row r="300" spans="10:10" x14ac:dyDescent="0.25">
      <c r="J300" s="6"/>
    </row>
    <row r="301" spans="10:10" x14ac:dyDescent="0.25">
      <c r="J301" s="6"/>
    </row>
    <row r="302" spans="10:10" x14ac:dyDescent="0.25">
      <c r="J302" s="6"/>
    </row>
    <row r="303" spans="10:10" x14ac:dyDescent="0.25">
      <c r="J303" s="6"/>
    </row>
    <row r="304" spans="10:10" x14ac:dyDescent="0.25">
      <c r="J304" s="6"/>
    </row>
    <row r="305" spans="10:10" x14ac:dyDescent="0.25">
      <c r="J305" s="6"/>
    </row>
    <row r="306" spans="10:10" x14ac:dyDescent="0.25">
      <c r="J306" s="6"/>
    </row>
    <row r="307" spans="10:10" x14ac:dyDescent="0.25">
      <c r="J307" s="6"/>
    </row>
    <row r="308" spans="10:10" x14ac:dyDescent="0.25">
      <c r="J308" s="6"/>
    </row>
    <row r="309" spans="10:10" x14ac:dyDescent="0.25">
      <c r="J309" s="6"/>
    </row>
    <row r="310" spans="10:10" x14ac:dyDescent="0.25">
      <c r="J310" s="6"/>
    </row>
    <row r="311" spans="10:10" x14ac:dyDescent="0.25">
      <c r="J311" s="6"/>
    </row>
    <row r="312" spans="10:10" x14ac:dyDescent="0.25">
      <c r="J312" s="6"/>
    </row>
    <row r="313" spans="10:10" x14ac:dyDescent="0.25">
      <c r="J313" s="6"/>
    </row>
    <row r="314" spans="10:10" x14ac:dyDescent="0.25">
      <c r="J314" s="6"/>
    </row>
    <row r="315" spans="10:10" x14ac:dyDescent="0.25">
      <c r="J315" s="6"/>
    </row>
    <row r="316" spans="10:10" x14ac:dyDescent="0.25">
      <c r="J316" s="6"/>
    </row>
    <row r="317" spans="10:10" x14ac:dyDescent="0.25">
      <c r="J317" s="6"/>
    </row>
    <row r="318" spans="10:10" x14ac:dyDescent="0.25">
      <c r="J318" s="6"/>
    </row>
    <row r="319" spans="10:10" x14ac:dyDescent="0.25">
      <c r="J319" s="6"/>
    </row>
    <row r="320" spans="10:10" x14ac:dyDescent="0.25">
      <c r="J320" s="6"/>
    </row>
    <row r="321" spans="10:10" x14ac:dyDescent="0.25">
      <c r="J321" s="6"/>
    </row>
    <row r="322" spans="10:10" x14ac:dyDescent="0.25">
      <c r="J322" s="6"/>
    </row>
    <row r="323" spans="10:10" x14ac:dyDescent="0.25">
      <c r="J323" s="6"/>
    </row>
    <row r="324" spans="10:10" x14ac:dyDescent="0.25">
      <c r="J324" s="6"/>
    </row>
    <row r="325" spans="10:10" x14ac:dyDescent="0.25">
      <c r="J325" s="6"/>
    </row>
    <row r="326" spans="10:10" x14ac:dyDescent="0.25">
      <c r="J326" s="6"/>
    </row>
    <row r="327" spans="10:10" x14ac:dyDescent="0.25">
      <c r="J327" s="6"/>
    </row>
    <row r="328" spans="10:10" x14ac:dyDescent="0.25">
      <c r="J328" s="6"/>
    </row>
    <row r="329" spans="10:10" x14ac:dyDescent="0.25">
      <c r="J329" s="6"/>
    </row>
    <row r="330" spans="10:10" x14ac:dyDescent="0.25">
      <c r="J330" s="6"/>
    </row>
    <row r="331" spans="10:10" x14ac:dyDescent="0.25">
      <c r="J331" s="6"/>
    </row>
    <row r="332" spans="10:10" x14ac:dyDescent="0.25">
      <c r="J332" s="6"/>
    </row>
    <row r="333" spans="10:10" x14ac:dyDescent="0.25">
      <c r="J333" s="6"/>
    </row>
    <row r="334" spans="10:10" x14ac:dyDescent="0.25">
      <c r="J334" s="6"/>
    </row>
    <row r="335" spans="10:10" x14ac:dyDescent="0.25">
      <c r="J335" s="6"/>
    </row>
    <row r="336" spans="10:10" x14ac:dyDescent="0.25">
      <c r="J336" s="6"/>
    </row>
    <row r="337" spans="10:10" x14ac:dyDescent="0.25">
      <c r="J337" s="6"/>
    </row>
    <row r="338" spans="10:10" x14ac:dyDescent="0.25">
      <c r="J338" s="6"/>
    </row>
    <row r="339" spans="10:10" x14ac:dyDescent="0.25">
      <c r="J339" s="6"/>
    </row>
    <row r="340" spans="10:10" x14ac:dyDescent="0.25">
      <c r="J340" s="6"/>
    </row>
    <row r="341" spans="10:10" x14ac:dyDescent="0.25">
      <c r="J341" s="6"/>
    </row>
    <row r="342" spans="10:10" x14ac:dyDescent="0.25">
      <c r="J342" s="6"/>
    </row>
    <row r="343" spans="10:10" x14ac:dyDescent="0.25">
      <c r="J343" s="6"/>
    </row>
    <row r="344" spans="10:10" x14ac:dyDescent="0.25">
      <c r="J344" s="6"/>
    </row>
    <row r="345" spans="10:10" x14ac:dyDescent="0.25">
      <c r="J345" s="6"/>
    </row>
    <row r="346" spans="10:10" x14ac:dyDescent="0.25">
      <c r="J346" s="6"/>
    </row>
    <row r="347" spans="10:10" x14ac:dyDescent="0.25">
      <c r="J347" s="6"/>
    </row>
    <row r="348" spans="10:10" x14ac:dyDescent="0.25">
      <c r="J348" s="6"/>
    </row>
    <row r="349" spans="10:10" x14ac:dyDescent="0.25">
      <c r="J349" s="6"/>
    </row>
    <row r="350" spans="10:10" x14ac:dyDescent="0.25">
      <c r="J350" s="6"/>
    </row>
    <row r="351" spans="10:10" x14ac:dyDescent="0.25">
      <c r="J351" s="6"/>
    </row>
    <row r="352" spans="10:10" x14ac:dyDescent="0.25">
      <c r="J352" s="6"/>
    </row>
    <row r="353" spans="10:10" x14ac:dyDescent="0.25">
      <c r="J353" s="6"/>
    </row>
    <row r="354" spans="10:10" x14ac:dyDescent="0.25">
      <c r="J354" s="6"/>
    </row>
    <row r="355" spans="10:10" x14ac:dyDescent="0.25">
      <c r="J355" s="6"/>
    </row>
    <row r="356" spans="10:10" x14ac:dyDescent="0.25">
      <c r="J356" s="6"/>
    </row>
    <row r="357" spans="10:10" x14ac:dyDescent="0.25">
      <c r="J357" s="6"/>
    </row>
    <row r="358" spans="10:10" x14ac:dyDescent="0.25">
      <c r="J358" s="6"/>
    </row>
    <row r="359" spans="10:10" x14ac:dyDescent="0.25">
      <c r="J359" s="6"/>
    </row>
    <row r="360" spans="10:10" x14ac:dyDescent="0.25">
      <c r="J360" s="6"/>
    </row>
    <row r="361" spans="10:10" x14ac:dyDescent="0.25">
      <c r="J361" s="6"/>
    </row>
    <row r="362" spans="10:10" x14ac:dyDescent="0.25">
      <c r="J362" s="6"/>
    </row>
    <row r="363" spans="10:10" x14ac:dyDescent="0.25">
      <c r="J363" s="6"/>
    </row>
    <row r="364" spans="10:10" x14ac:dyDescent="0.25">
      <c r="J364" s="6"/>
    </row>
    <row r="365" spans="10:10" x14ac:dyDescent="0.25">
      <c r="J365" s="6"/>
    </row>
    <row r="366" spans="10:10" x14ac:dyDescent="0.25">
      <c r="J366" s="6"/>
    </row>
    <row r="367" spans="10:10" x14ac:dyDescent="0.25">
      <c r="J367" s="6"/>
    </row>
    <row r="368" spans="10:10" x14ac:dyDescent="0.25">
      <c r="J368" s="6"/>
    </row>
    <row r="369" spans="3:10" x14ac:dyDescent="0.25">
      <c r="J369" s="6"/>
    </row>
    <row r="370" spans="3:10" x14ac:dyDescent="0.25">
      <c r="J370" s="6"/>
    </row>
    <row r="371" spans="3:10" x14ac:dyDescent="0.25">
      <c r="J371" s="6"/>
    </row>
    <row r="372" spans="3:10" x14ac:dyDescent="0.25">
      <c r="J372" s="6"/>
    </row>
    <row r="373" spans="3:10" x14ac:dyDescent="0.25">
      <c r="J373" s="6"/>
    </row>
    <row r="374" spans="3:10" x14ac:dyDescent="0.25">
      <c r="J374" s="6"/>
    </row>
    <row r="375" spans="3:10" x14ac:dyDescent="0.25">
      <c r="J375" s="6"/>
    </row>
    <row r="376" spans="3:10" x14ac:dyDescent="0.25">
      <c r="J376" s="6"/>
    </row>
    <row r="377" spans="3:10" x14ac:dyDescent="0.25">
      <c r="J377" s="6"/>
    </row>
    <row r="378" spans="3:10" x14ac:dyDescent="0.25">
      <c r="C378" s="1"/>
      <c r="D378" s="1"/>
      <c r="E378" s="1"/>
      <c r="F378" s="1"/>
      <c r="G378" s="1"/>
      <c r="H378" s="1"/>
      <c r="I378" s="1"/>
      <c r="J378" s="6"/>
    </row>
    <row r="379" spans="3:10" x14ac:dyDescent="0.25">
      <c r="C379" s="1"/>
      <c r="D379" s="1"/>
      <c r="E379" s="1"/>
      <c r="F379" s="1"/>
      <c r="G379" s="1"/>
      <c r="H379" s="1"/>
      <c r="I379" s="1"/>
      <c r="J379" s="6"/>
    </row>
    <row r="380" spans="3:10" x14ac:dyDescent="0.25">
      <c r="C380" s="1"/>
      <c r="D380" s="1"/>
      <c r="E380" s="1"/>
      <c r="F380" s="1"/>
      <c r="G380" s="1"/>
      <c r="H380" s="1"/>
      <c r="I380" s="1"/>
      <c r="J380" s="6"/>
    </row>
    <row r="381" spans="3:10" x14ac:dyDescent="0.25">
      <c r="C381" s="1"/>
      <c r="D381" s="1"/>
      <c r="E381" s="1"/>
      <c r="F381" s="1"/>
      <c r="G381" s="1"/>
      <c r="H381" s="1"/>
      <c r="I381" s="1"/>
      <c r="J381" s="6"/>
    </row>
    <row r="382" spans="3:10" x14ac:dyDescent="0.25">
      <c r="C382" s="1"/>
      <c r="D382" s="1"/>
      <c r="E382" s="1"/>
      <c r="F382" s="1"/>
      <c r="G382" s="1"/>
      <c r="H382" s="1"/>
      <c r="I382" s="1"/>
      <c r="J382" s="6"/>
    </row>
    <row r="383" spans="3:10" x14ac:dyDescent="0.25">
      <c r="C383" s="1"/>
      <c r="D383" s="1"/>
      <c r="E383" s="1"/>
      <c r="F383" s="1"/>
      <c r="G383" s="1"/>
      <c r="H383" s="1"/>
      <c r="I383" s="1"/>
      <c r="J383" s="6"/>
    </row>
    <row r="384" spans="3:10" x14ac:dyDescent="0.25">
      <c r="C384" s="1"/>
      <c r="D384" s="1"/>
      <c r="E384" s="1"/>
      <c r="F384" s="1"/>
      <c r="G384" s="1"/>
      <c r="H384" s="1"/>
      <c r="I384" s="1"/>
      <c r="J384" s="6"/>
    </row>
    <row r="385" spans="3:10" x14ac:dyDescent="0.25">
      <c r="C385" s="1"/>
      <c r="D385" s="1"/>
      <c r="E385" s="1"/>
      <c r="F385" s="1"/>
      <c r="G385" s="1"/>
      <c r="H385" s="1"/>
      <c r="I385" s="1"/>
      <c r="J385" s="6"/>
    </row>
    <row r="386" spans="3:10" x14ac:dyDescent="0.25">
      <c r="C386" s="1"/>
      <c r="D386" s="1"/>
      <c r="E386" s="1"/>
      <c r="F386" s="1"/>
      <c r="G386" s="1"/>
      <c r="H386" s="1"/>
      <c r="I386" s="1"/>
      <c r="J386" s="6"/>
    </row>
    <row r="387" spans="3:10" x14ac:dyDescent="0.25">
      <c r="C387" s="1"/>
      <c r="D387" s="1"/>
      <c r="E387" s="1"/>
      <c r="F387" s="1"/>
      <c r="G387" s="1"/>
      <c r="H387" s="1"/>
      <c r="I387" s="1"/>
      <c r="J387" s="6"/>
    </row>
    <row r="388" spans="3:10" x14ac:dyDescent="0.25">
      <c r="C388" s="1"/>
      <c r="D388" s="1"/>
      <c r="E388" s="1"/>
      <c r="F388" s="1"/>
      <c r="G388" s="1"/>
      <c r="H388" s="1"/>
      <c r="I388" s="1"/>
      <c r="J388" s="6"/>
    </row>
    <row r="389" spans="3:10" x14ac:dyDescent="0.25">
      <c r="C389" s="1"/>
      <c r="D389" s="1"/>
      <c r="E389" s="1"/>
      <c r="F389" s="1"/>
      <c r="G389" s="1"/>
      <c r="H389" s="1"/>
      <c r="I389" s="1"/>
      <c r="J389" s="6"/>
    </row>
    <row r="390" spans="3:10" x14ac:dyDescent="0.25">
      <c r="C390" s="1"/>
      <c r="D390" s="1"/>
      <c r="E390" s="1"/>
      <c r="F390" s="1"/>
      <c r="G390" s="1"/>
      <c r="H390" s="1"/>
      <c r="I390" s="1"/>
      <c r="J390" s="6"/>
    </row>
    <row r="391" spans="3:10" x14ac:dyDescent="0.25">
      <c r="C391" s="1"/>
      <c r="D391" s="1"/>
      <c r="E391" s="1"/>
      <c r="F391" s="1"/>
      <c r="G391" s="1"/>
      <c r="H391" s="1"/>
      <c r="I391" s="1"/>
      <c r="J391" s="6"/>
    </row>
    <row r="392" spans="3:10" x14ac:dyDescent="0.25">
      <c r="C392" s="1"/>
      <c r="D392" s="1"/>
      <c r="E392" s="1"/>
      <c r="F392" s="1"/>
      <c r="G392" s="1"/>
      <c r="H392" s="1"/>
      <c r="I392" s="1"/>
      <c r="J392" s="6"/>
    </row>
    <row r="393" spans="3:10" x14ac:dyDescent="0.25">
      <c r="C393" s="1"/>
      <c r="D393" s="1"/>
      <c r="E393" s="1"/>
      <c r="F393" s="1"/>
      <c r="G393" s="1"/>
      <c r="H393" s="1"/>
      <c r="I393" s="1"/>
      <c r="J393" s="6"/>
    </row>
    <row r="394" spans="3:10" x14ac:dyDescent="0.25">
      <c r="C394" s="1"/>
      <c r="D394" s="1"/>
      <c r="E394" s="1"/>
      <c r="F394" s="1"/>
      <c r="G394" s="1"/>
      <c r="H394" s="1"/>
      <c r="I394" s="1"/>
      <c r="J394" s="6"/>
    </row>
    <row r="395" spans="3:10" x14ac:dyDescent="0.25">
      <c r="C395" s="1"/>
      <c r="D395" s="1"/>
      <c r="E395" s="1"/>
      <c r="F395" s="1"/>
      <c r="G395" s="1"/>
      <c r="H395" s="1"/>
      <c r="I395" s="1"/>
      <c r="J395" s="6"/>
    </row>
    <row r="396" spans="3:10" x14ac:dyDescent="0.25">
      <c r="C396" s="1"/>
      <c r="D396" s="1"/>
      <c r="E396" s="1"/>
      <c r="F396" s="1"/>
      <c r="G396" s="1"/>
      <c r="H396" s="1"/>
      <c r="I396" s="1"/>
      <c r="J396" s="6"/>
    </row>
    <row r="397" spans="3:10" x14ac:dyDescent="0.25">
      <c r="C397" s="1"/>
      <c r="D397" s="1"/>
      <c r="E397" s="1"/>
      <c r="F397" s="1"/>
      <c r="G397" s="1"/>
      <c r="H397" s="1"/>
      <c r="I397" s="1"/>
      <c r="J397" s="6"/>
    </row>
    <row r="398" spans="3:10" x14ac:dyDescent="0.25">
      <c r="C398" s="1"/>
      <c r="D398" s="1"/>
      <c r="E398" s="1"/>
      <c r="F398" s="1"/>
      <c r="G398" s="1"/>
      <c r="H398" s="1"/>
      <c r="I398" s="1"/>
      <c r="J398" s="6"/>
    </row>
    <row r="399" spans="3:10" x14ac:dyDescent="0.25">
      <c r="C399" s="1"/>
      <c r="D399" s="1"/>
      <c r="E399" s="1"/>
      <c r="F399" s="1"/>
      <c r="G399" s="1"/>
      <c r="H399" s="1"/>
      <c r="I399" s="1"/>
      <c r="J399" s="6"/>
    </row>
    <row r="400" spans="3:10" x14ac:dyDescent="0.25">
      <c r="C400" s="1"/>
      <c r="D400" s="1"/>
      <c r="E400" s="1"/>
      <c r="F400" s="1"/>
      <c r="G400" s="1"/>
      <c r="H400" s="1"/>
      <c r="I400" s="1"/>
      <c r="J400" s="6"/>
    </row>
    <row r="401" spans="3:10" x14ac:dyDescent="0.25">
      <c r="C401" s="1"/>
      <c r="D401" s="1"/>
      <c r="E401" s="1"/>
      <c r="F401" s="1"/>
      <c r="G401" s="1"/>
      <c r="H401" s="1"/>
      <c r="I401" s="1"/>
      <c r="J401" s="6"/>
    </row>
    <row r="402" spans="3:10" x14ac:dyDescent="0.25">
      <c r="C402" s="1"/>
      <c r="D402" s="1"/>
      <c r="E402" s="1"/>
      <c r="F402" s="1"/>
      <c r="G402" s="1"/>
      <c r="H402" s="1"/>
      <c r="I402" s="1"/>
      <c r="J402" s="6"/>
    </row>
    <row r="403" spans="3:10" x14ac:dyDescent="0.25">
      <c r="C403" s="1"/>
      <c r="D403" s="1"/>
      <c r="E403" s="1"/>
      <c r="F403" s="1"/>
      <c r="G403" s="1"/>
      <c r="H403" s="1"/>
      <c r="I403" s="1"/>
      <c r="J403" s="6"/>
    </row>
    <row r="404" spans="3:10" x14ac:dyDescent="0.25">
      <c r="C404" s="1"/>
      <c r="D404" s="1"/>
      <c r="E404" s="1"/>
      <c r="F404" s="1"/>
      <c r="G404" s="1"/>
      <c r="H404" s="1"/>
      <c r="I404" s="1"/>
      <c r="J404" s="6"/>
    </row>
    <row r="405" spans="3:10" x14ac:dyDescent="0.25">
      <c r="C405" s="1"/>
      <c r="D405" s="1"/>
      <c r="E405" s="1"/>
      <c r="F405" s="1"/>
      <c r="G405" s="1"/>
      <c r="H405" s="1"/>
      <c r="I405" s="1"/>
      <c r="J405" s="6"/>
    </row>
    <row r="406" spans="3:10" x14ac:dyDescent="0.25">
      <c r="C406" s="1"/>
      <c r="D406" s="1"/>
      <c r="E406" s="1"/>
      <c r="F406" s="1"/>
      <c r="G406" s="1"/>
      <c r="H406" s="1"/>
      <c r="I406" s="1"/>
      <c r="J406" s="6"/>
    </row>
    <row r="407" spans="3:10" x14ac:dyDescent="0.25">
      <c r="C407" s="1"/>
      <c r="D407" s="1"/>
      <c r="E407" s="1"/>
      <c r="F407" s="1"/>
      <c r="G407" s="1"/>
      <c r="H407" s="1"/>
      <c r="I407" s="1"/>
      <c r="J407" s="6"/>
    </row>
    <row r="408" spans="3:10" x14ac:dyDescent="0.25">
      <c r="C408" s="1"/>
      <c r="D408" s="1"/>
      <c r="E408" s="1"/>
      <c r="F408" s="1"/>
      <c r="G408" s="1"/>
      <c r="H408" s="1"/>
      <c r="I408" s="1"/>
    </row>
    <row r="409" spans="3:10" x14ac:dyDescent="0.25">
      <c r="C409" s="1"/>
      <c r="D409" s="1"/>
      <c r="E409" s="1"/>
      <c r="F409" s="1"/>
      <c r="G409" s="1"/>
      <c r="H409" s="1"/>
      <c r="I409" s="1"/>
    </row>
    <row r="410" spans="3:10" x14ac:dyDescent="0.25">
      <c r="C410" s="1"/>
      <c r="D410" s="1"/>
      <c r="E410" s="1"/>
      <c r="F410" s="1"/>
      <c r="G410" s="1"/>
      <c r="H410" s="1"/>
      <c r="I410" s="1"/>
    </row>
    <row r="411" spans="3:10" x14ac:dyDescent="0.25">
      <c r="C411" s="1"/>
      <c r="D411" s="1"/>
      <c r="E411" s="1"/>
      <c r="F411" s="1"/>
      <c r="G411" s="1"/>
      <c r="H411" s="1"/>
      <c r="I411" s="1"/>
    </row>
    <row r="412" spans="3:10" x14ac:dyDescent="0.25">
      <c r="C412" s="1"/>
      <c r="D412" s="1"/>
      <c r="E412" s="1"/>
      <c r="F412" s="1"/>
      <c r="G412" s="1"/>
      <c r="H412" s="1"/>
      <c r="I412" s="1"/>
    </row>
    <row r="413" spans="3:10" x14ac:dyDescent="0.25">
      <c r="C413" s="1"/>
      <c r="D413" s="1"/>
      <c r="E413" s="1"/>
      <c r="F413" s="1"/>
      <c r="G413" s="1"/>
      <c r="H413" s="1"/>
      <c r="I413" s="1"/>
    </row>
    <row r="414" spans="3:10" x14ac:dyDescent="0.25">
      <c r="C414" s="1"/>
      <c r="D414" s="1"/>
      <c r="E414" s="1"/>
      <c r="F414" s="1"/>
      <c r="G414" s="1"/>
      <c r="H414" s="1"/>
      <c r="I414" s="1"/>
    </row>
    <row r="415" spans="3:10" x14ac:dyDescent="0.25">
      <c r="C415" s="1"/>
      <c r="D415" s="1"/>
      <c r="E415" s="1"/>
      <c r="F415" s="1"/>
      <c r="G415" s="1"/>
      <c r="H415" s="1"/>
      <c r="I415" s="1"/>
    </row>
    <row r="416" spans="3:10" x14ac:dyDescent="0.25">
      <c r="C416" s="1"/>
      <c r="D416" s="1"/>
      <c r="E416" s="1"/>
      <c r="F416" s="1"/>
      <c r="G416" s="1"/>
      <c r="H416" s="1"/>
      <c r="I416" s="1"/>
    </row>
    <row r="417" spans="3:9" x14ac:dyDescent="0.25">
      <c r="C417" s="1"/>
      <c r="D417" s="1"/>
      <c r="E417" s="1"/>
      <c r="F417" s="1"/>
      <c r="G417" s="1"/>
      <c r="H417" s="1"/>
      <c r="I417" s="1"/>
    </row>
    <row r="418" spans="3:9" x14ac:dyDescent="0.25">
      <c r="C418" s="1"/>
      <c r="D418" s="1"/>
      <c r="E418" s="1"/>
      <c r="F418" s="1"/>
      <c r="G418" s="1"/>
      <c r="H418" s="1"/>
      <c r="I418" s="1"/>
    </row>
    <row r="419" spans="3:9" x14ac:dyDescent="0.25">
      <c r="C419" s="1"/>
      <c r="D419" s="1"/>
      <c r="E419" s="1"/>
      <c r="F419" s="1"/>
      <c r="G419" s="1"/>
      <c r="H419" s="1"/>
      <c r="I419" s="1"/>
    </row>
    <row r="420" spans="3:9" x14ac:dyDescent="0.25">
      <c r="C420" s="1"/>
      <c r="D420" s="1"/>
      <c r="E420" s="1"/>
      <c r="F420" s="1"/>
      <c r="G420" s="1"/>
      <c r="H420" s="1"/>
      <c r="I420" s="1"/>
    </row>
    <row r="421" spans="3:9" x14ac:dyDescent="0.25">
      <c r="C421" s="1"/>
      <c r="D421" s="1"/>
      <c r="E421" s="1"/>
      <c r="F421" s="1"/>
      <c r="G421" s="1"/>
      <c r="H421" s="1"/>
      <c r="I421" s="1"/>
    </row>
    <row r="422" spans="3:9" x14ac:dyDescent="0.25">
      <c r="C422" s="1"/>
      <c r="D422" s="1"/>
      <c r="E422" s="1"/>
      <c r="F422" s="1"/>
      <c r="G422" s="1"/>
      <c r="H422" s="1"/>
      <c r="I422" s="1"/>
    </row>
    <row r="423" spans="3:9" x14ac:dyDescent="0.25">
      <c r="C423" s="1"/>
      <c r="D423" s="1"/>
      <c r="E423" s="1"/>
      <c r="F423" s="1"/>
      <c r="G423" s="1"/>
      <c r="H423" s="1"/>
      <c r="I423" s="1"/>
    </row>
    <row r="424" spans="3:9" x14ac:dyDescent="0.25">
      <c r="C424" s="1"/>
      <c r="D424" s="1"/>
      <c r="E424" s="1"/>
      <c r="F424" s="1"/>
      <c r="G424" s="1"/>
      <c r="H424" s="1"/>
      <c r="I424" s="1"/>
    </row>
    <row r="425" spans="3:9" x14ac:dyDescent="0.25">
      <c r="C425" s="1"/>
      <c r="D425" s="1"/>
      <c r="E425" s="1"/>
      <c r="F425" s="1"/>
      <c r="G425" s="1"/>
      <c r="H425" s="1"/>
      <c r="I425" s="1"/>
    </row>
    <row r="426" spans="3:9" x14ac:dyDescent="0.25">
      <c r="C426" s="1"/>
      <c r="D426" s="1"/>
      <c r="E426" s="1"/>
      <c r="F426" s="1"/>
      <c r="G426" s="1"/>
      <c r="H426" s="1"/>
      <c r="I426" s="1"/>
    </row>
    <row r="427" spans="3:9" x14ac:dyDescent="0.25">
      <c r="C427" s="1"/>
      <c r="D427" s="1"/>
      <c r="E427" s="1"/>
      <c r="F427" s="1"/>
      <c r="G427" s="1"/>
      <c r="H427" s="1"/>
      <c r="I427" s="1"/>
    </row>
    <row r="428" spans="3:9" x14ac:dyDescent="0.25">
      <c r="C428" s="1"/>
      <c r="D428" s="1"/>
      <c r="E428" s="1"/>
      <c r="F428" s="1"/>
      <c r="G428" s="1"/>
      <c r="H428" s="1"/>
      <c r="I428" s="1"/>
    </row>
    <row r="429" spans="3:9" x14ac:dyDescent="0.25">
      <c r="C429" s="1"/>
      <c r="D429" s="1"/>
      <c r="E429" s="1"/>
      <c r="F429" s="1"/>
      <c r="G429" s="1"/>
      <c r="H429" s="1"/>
      <c r="I429" s="1"/>
    </row>
    <row r="430" spans="3:9" x14ac:dyDescent="0.25">
      <c r="C430" s="1"/>
      <c r="D430" s="1"/>
      <c r="E430" s="1"/>
      <c r="F430" s="1"/>
      <c r="G430" s="1"/>
      <c r="H430" s="1"/>
      <c r="I430" s="1"/>
    </row>
    <row r="431" spans="3:9" x14ac:dyDescent="0.25">
      <c r="C431" s="1"/>
      <c r="D431" s="1"/>
      <c r="E431" s="1"/>
      <c r="F431" s="1"/>
      <c r="G431" s="1"/>
      <c r="H431" s="1"/>
      <c r="I431" s="1"/>
    </row>
    <row r="432" spans="3:9" x14ac:dyDescent="0.25">
      <c r="C432" s="1"/>
      <c r="D432" s="1"/>
      <c r="E432" s="1"/>
      <c r="F432" s="1"/>
      <c r="G432" s="1"/>
      <c r="H432" s="1"/>
      <c r="I432" s="1"/>
    </row>
    <row r="433" spans="3:9" x14ac:dyDescent="0.25">
      <c r="C433" s="1"/>
      <c r="D433" s="1"/>
      <c r="E433" s="1"/>
      <c r="F433" s="1"/>
      <c r="G433" s="1"/>
      <c r="H433" s="1"/>
      <c r="I433" s="1"/>
    </row>
    <row r="434" spans="3:9" x14ac:dyDescent="0.25">
      <c r="C434" s="1"/>
      <c r="D434" s="1"/>
      <c r="E434" s="1"/>
      <c r="F434" s="1"/>
      <c r="G434" s="1"/>
      <c r="H434" s="1"/>
      <c r="I434" s="1"/>
    </row>
    <row r="435" spans="3:9" x14ac:dyDescent="0.25">
      <c r="C435" s="1"/>
      <c r="D435" s="1"/>
      <c r="E435" s="1"/>
      <c r="F435" s="1"/>
      <c r="G435" s="1"/>
      <c r="H435" s="1"/>
      <c r="I435" s="1"/>
    </row>
    <row r="436" spans="3:9" x14ac:dyDescent="0.25">
      <c r="C436" s="1"/>
      <c r="D436" s="1"/>
      <c r="E436" s="1"/>
      <c r="F436" s="1"/>
      <c r="G436" s="1"/>
      <c r="H436" s="1"/>
      <c r="I436" s="1"/>
    </row>
    <row r="437" spans="3:9" x14ac:dyDescent="0.25">
      <c r="C437" s="1"/>
      <c r="D437" s="1"/>
      <c r="E437" s="1"/>
      <c r="F437" s="1"/>
      <c r="G437" s="1"/>
      <c r="H437" s="1"/>
      <c r="I437" s="1"/>
    </row>
    <row r="438" spans="3:9" x14ac:dyDescent="0.25">
      <c r="C438" s="1"/>
      <c r="D438" s="1"/>
      <c r="E438" s="1"/>
      <c r="F438" s="1"/>
      <c r="G438" s="1"/>
      <c r="H438" s="1"/>
      <c r="I438" s="1"/>
    </row>
    <row r="439" spans="3:9" x14ac:dyDescent="0.25">
      <c r="C439" s="1"/>
      <c r="D439" s="1"/>
      <c r="E439" s="1"/>
      <c r="F439" s="1"/>
      <c r="G439" s="1"/>
      <c r="H439" s="1"/>
      <c r="I439" s="1"/>
    </row>
    <row r="440" spans="3:9" x14ac:dyDescent="0.25">
      <c r="C440" s="1"/>
      <c r="D440" s="1"/>
      <c r="E440" s="1"/>
      <c r="F440" s="1"/>
      <c r="G440" s="1"/>
      <c r="H440" s="1"/>
      <c r="I440" s="1"/>
    </row>
    <row r="441" spans="3:9" x14ac:dyDescent="0.25">
      <c r="C441" s="1"/>
      <c r="D441" s="1"/>
      <c r="E441" s="1"/>
      <c r="F441" s="1"/>
      <c r="G441" s="1"/>
      <c r="H441" s="1"/>
      <c r="I441" s="1"/>
    </row>
    <row r="442" spans="3:9" x14ac:dyDescent="0.25">
      <c r="C442" s="1"/>
      <c r="D442" s="1"/>
      <c r="E442" s="1"/>
      <c r="F442" s="1"/>
      <c r="G442" s="1"/>
      <c r="H442" s="1"/>
      <c r="I442" s="1"/>
    </row>
    <row r="443" spans="3:9" x14ac:dyDescent="0.25">
      <c r="C443" s="1"/>
      <c r="D443" s="1"/>
      <c r="E443" s="1"/>
      <c r="F443" s="1"/>
      <c r="G443" s="1"/>
      <c r="H443" s="1"/>
      <c r="I443" s="1"/>
    </row>
    <row r="444" spans="3:9" x14ac:dyDescent="0.25">
      <c r="C444" s="1"/>
      <c r="D444" s="1"/>
      <c r="E444" s="1"/>
      <c r="F444" s="1"/>
      <c r="G444" s="1"/>
      <c r="H444" s="1"/>
      <c r="I444" s="1"/>
    </row>
    <row r="445" spans="3:9" x14ac:dyDescent="0.25">
      <c r="C445" s="1"/>
      <c r="D445" s="1"/>
      <c r="E445" s="1"/>
      <c r="F445" s="1"/>
      <c r="G445" s="1"/>
      <c r="H445" s="1"/>
      <c r="I445" s="1"/>
    </row>
    <row r="446" spans="3:9" x14ac:dyDescent="0.25">
      <c r="C446" s="1"/>
      <c r="D446" s="1"/>
      <c r="E446" s="1"/>
      <c r="F446" s="1"/>
      <c r="G446" s="1"/>
      <c r="H446" s="1"/>
      <c r="I446" s="1"/>
    </row>
    <row r="447" spans="3:9" x14ac:dyDescent="0.25">
      <c r="C447" s="1"/>
      <c r="D447" s="1"/>
      <c r="E447" s="1"/>
      <c r="F447" s="1"/>
      <c r="G447" s="1"/>
      <c r="H447" s="1"/>
      <c r="I447" s="1"/>
    </row>
    <row r="448" spans="3:9" x14ac:dyDescent="0.25">
      <c r="C448" s="1"/>
      <c r="D448" s="1"/>
      <c r="E448" s="1"/>
      <c r="F448" s="1"/>
      <c r="G448" s="1"/>
      <c r="H448" s="1"/>
      <c r="I448" s="1"/>
    </row>
    <row r="449" spans="3:9" x14ac:dyDescent="0.25">
      <c r="C449" s="1"/>
      <c r="D449" s="1"/>
      <c r="E449" s="1"/>
      <c r="F449" s="1"/>
      <c r="G449" s="1"/>
      <c r="H449" s="1"/>
      <c r="I449" s="1"/>
    </row>
    <row r="450" spans="3:9" x14ac:dyDescent="0.25">
      <c r="C450" s="1"/>
      <c r="D450" s="1"/>
      <c r="E450" s="1"/>
      <c r="F450" s="1"/>
      <c r="G450" s="1"/>
      <c r="H450" s="1"/>
      <c r="I450" s="1"/>
    </row>
    <row r="451" spans="3:9" x14ac:dyDescent="0.25">
      <c r="C451" s="1"/>
      <c r="D451" s="1"/>
      <c r="E451" s="1"/>
      <c r="F451" s="1"/>
      <c r="G451" s="1"/>
      <c r="H451" s="1"/>
      <c r="I451" s="1"/>
    </row>
    <row r="452" spans="3:9" x14ac:dyDescent="0.25">
      <c r="C452" s="1"/>
      <c r="D452" s="1"/>
      <c r="E452" s="1"/>
      <c r="F452" s="1"/>
      <c r="G452" s="1"/>
      <c r="H452" s="1"/>
      <c r="I452" s="1"/>
    </row>
    <row r="453" spans="3:9" x14ac:dyDescent="0.25">
      <c r="C453" s="1"/>
      <c r="D453" s="1"/>
      <c r="E453" s="1"/>
      <c r="F453" s="1"/>
      <c r="G453" s="1"/>
      <c r="H453" s="1"/>
      <c r="I453" s="1"/>
    </row>
    <row r="454" spans="3:9" x14ac:dyDescent="0.25">
      <c r="C454" s="1"/>
      <c r="D454" s="1"/>
      <c r="E454" s="1"/>
      <c r="F454" s="1"/>
      <c r="G454" s="1"/>
      <c r="H454" s="1"/>
      <c r="I454" s="1"/>
    </row>
    <row r="455" spans="3:9" x14ac:dyDescent="0.25">
      <c r="C455" s="1"/>
      <c r="D455" s="1"/>
      <c r="E455" s="1"/>
      <c r="F455" s="1"/>
      <c r="G455" s="1"/>
      <c r="H455" s="1"/>
      <c r="I455" s="1"/>
    </row>
    <row r="456" spans="3:9" x14ac:dyDescent="0.25">
      <c r="C456" s="1"/>
      <c r="D456" s="1"/>
      <c r="E456" s="1"/>
      <c r="F456" s="1"/>
      <c r="G456" s="1"/>
      <c r="H456" s="1"/>
      <c r="I456" s="1"/>
    </row>
    <row r="457" spans="3:9" x14ac:dyDescent="0.25">
      <c r="C457" s="1"/>
      <c r="D457" s="1"/>
      <c r="E457" s="1"/>
      <c r="F457" s="1"/>
      <c r="G457" s="1"/>
      <c r="H457" s="1"/>
      <c r="I457" s="1"/>
    </row>
    <row r="458" spans="3:9" x14ac:dyDescent="0.25">
      <c r="C458" s="1"/>
      <c r="D458" s="1"/>
      <c r="E458" s="1"/>
      <c r="F458" s="1"/>
      <c r="G458" s="1"/>
      <c r="H458" s="1"/>
      <c r="I458" s="1"/>
    </row>
    <row r="459" spans="3:9" x14ac:dyDescent="0.25">
      <c r="C459" s="1"/>
      <c r="D459" s="1"/>
      <c r="E459" s="1"/>
      <c r="F459" s="1"/>
      <c r="G459" s="1"/>
      <c r="H459" s="1"/>
      <c r="I459" s="1"/>
    </row>
    <row r="460" spans="3:9" x14ac:dyDescent="0.25">
      <c r="C460" s="1"/>
      <c r="D460" s="1"/>
      <c r="E460" s="1"/>
      <c r="F460" s="1"/>
      <c r="G460" s="1"/>
      <c r="H460" s="1"/>
      <c r="I460" s="1"/>
    </row>
    <row r="461" spans="3:9" x14ac:dyDescent="0.25">
      <c r="C461" s="1"/>
      <c r="D461" s="1"/>
      <c r="E461" s="1"/>
      <c r="F461" s="1"/>
      <c r="G461" s="1"/>
      <c r="H461" s="1"/>
      <c r="I461" s="1"/>
    </row>
    <row r="462" spans="3:9" x14ac:dyDescent="0.25">
      <c r="C462" s="1"/>
      <c r="D462" s="1"/>
      <c r="E462" s="1"/>
      <c r="F462" s="1"/>
      <c r="G462" s="1"/>
      <c r="H462" s="1"/>
      <c r="I462" s="1"/>
    </row>
    <row r="463" spans="3:9" x14ac:dyDescent="0.25">
      <c r="C463" s="1"/>
      <c r="D463" s="1"/>
      <c r="E463" s="1"/>
      <c r="F463" s="1"/>
      <c r="G463" s="1"/>
      <c r="H463" s="1"/>
      <c r="I463" s="1"/>
    </row>
    <row r="464" spans="3:9" x14ac:dyDescent="0.25">
      <c r="C464" s="1"/>
      <c r="D464" s="1"/>
      <c r="E464" s="1"/>
      <c r="F464" s="1"/>
      <c r="G464" s="1"/>
      <c r="H464" s="1"/>
      <c r="I464" s="1"/>
    </row>
    <row r="465" spans="3:9" x14ac:dyDescent="0.25">
      <c r="C465" s="1"/>
      <c r="D465" s="1"/>
      <c r="E465" s="1"/>
      <c r="F465" s="1"/>
      <c r="G465" s="1"/>
      <c r="H465" s="1"/>
      <c r="I465" s="1"/>
    </row>
    <row r="466" spans="3:9" x14ac:dyDescent="0.25">
      <c r="C466" s="1"/>
      <c r="D466" s="1"/>
      <c r="E466" s="1"/>
      <c r="F466" s="1"/>
      <c r="G466" s="1"/>
      <c r="H466" s="1"/>
      <c r="I466" s="1"/>
    </row>
    <row r="467" spans="3:9" x14ac:dyDescent="0.25">
      <c r="C467" s="1"/>
      <c r="D467" s="1"/>
      <c r="E467" s="1"/>
      <c r="F467" s="1"/>
      <c r="G467" s="1"/>
      <c r="H467" s="1"/>
      <c r="I467" s="1"/>
    </row>
    <row r="468" spans="3:9" x14ac:dyDescent="0.25">
      <c r="C468" s="1"/>
      <c r="D468" s="1"/>
      <c r="E468" s="1"/>
      <c r="F468" s="1"/>
      <c r="G468" s="1"/>
      <c r="H468" s="1"/>
      <c r="I468" s="1"/>
    </row>
    <row r="469" spans="3:9" x14ac:dyDescent="0.25">
      <c r="C469" s="1"/>
      <c r="D469" s="1"/>
      <c r="E469" s="1"/>
      <c r="F469" s="1"/>
      <c r="G469" s="1"/>
      <c r="H469" s="1"/>
      <c r="I469" s="1"/>
    </row>
    <row r="470" spans="3:9" x14ac:dyDescent="0.25">
      <c r="C470" s="1"/>
      <c r="D470" s="1"/>
      <c r="E470" s="1"/>
      <c r="F470" s="1"/>
      <c r="G470" s="1"/>
      <c r="H470" s="1"/>
      <c r="I470" s="1"/>
    </row>
    <row r="471" spans="3:9" x14ac:dyDescent="0.25">
      <c r="C471" s="1"/>
      <c r="D471" s="1"/>
      <c r="E471" s="1"/>
      <c r="F471" s="1"/>
      <c r="G471" s="1"/>
      <c r="H471" s="1"/>
      <c r="I471" s="1"/>
    </row>
    <row r="472" spans="3:9" x14ac:dyDescent="0.25">
      <c r="C472" s="1"/>
      <c r="D472" s="1"/>
      <c r="E472" s="1"/>
      <c r="F472" s="1"/>
      <c r="G472" s="1"/>
      <c r="H472" s="1"/>
      <c r="I472" s="1"/>
    </row>
    <row r="473" spans="3:9" x14ac:dyDescent="0.25">
      <c r="C473" s="1"/>
      <c r="D473" s="1"/>
      <c r="E473" s="1"/>
      <c r="F473" s="1"/>
      <c r="G473" s="1"/>
      <c r="H473" s="1"/>
      <c r="I473" s="1"/>
    </row>
    <row r="474" spans="3:9" x14ac:dyDescent="0.25">
      <c r="C474" s="1"/>
      <c r="D474" s="1"/>
      <c r="E474" s="1"/>
      <c r="F474" s="1"/>
      <c r="G474" s="1"/>
      <c r="H474" s="1"/>
      <c r="I474" s="1"/>
    </row>
    <row r="475" spans="3:9" x14ac:dyDescent="0.25">
      <c r="C475" s="1"/>
      <c r="D475" s="1"/>
      <c r="E475" s="1"/>
      <c r="F475" s="1"/>
      <c r="G475" s="1"/>
      <c r="H475" s="1"/>
      <c r="I475" s="1"/>
    </row>
    <row r="476" spans="3:9" x14ac:dyDescent="0.25">
      <c r="C476" s="1"/>
      <c r="D476" s="1"/>
      <c r="E476" s="1"/>
      <c r="F476" s="1"/>
      <c r="G476" s="1"/>
      <c r="H476" s="1"/>
      <c r="I476" s="1"/>
    </row>
    <row r="477" spans="3:9" x14ac:dyDescent="0.25">
      <c r="C477" s="1"/>
      <c r="D477" s="1"/>
      <c r="E477" s="1"/>
      <c r="F477" s="1"/>
      <c r="G477" s="1"/>
      <c r="H477" s="1"/>
      <c r="I477" s="1"/>
    </row>
    <row r="478" spans="3:9" x14ac:dyDescent="0.25">
      <c r="C478" s="1"/>
      <c r="D478" s="1"/>
      <c r="E478" s="1"/>
      <c r="F478" s="1"/>
      <c r="G478" s="1"/>
      <c r="H478" s="1"/>
      <c r="I478" s="1"/>
    </row>
    <row r="479" spans="3:9" x14ac:dyDescent="0.25">
      <c r="C479" s="1"/>
      <c r="D479" s="1"/>
      <c r="E479" s="1"/>
      <c r="F479" s="1"/>
      <c r="G479" s="1"/>
      <c r="H479" s="1"/>
      <c r="I479" s="1"/>
    </row>
    <row r="480" spans="3:9" x14ac:dyDescent="0.25">
      <c r="C480" s="1"/>
      <c r="D480" s="1"/>
      <c r="E480" s="1"/>
      <c r="F480" s="1"/>
      <c r="G480" s="1"/>
      <c r="H480" s="1"/>
      <c r="I480" s="1"/>
    </row>
    <row r="481" spans="3:9" x14ac:dyDescent="0.25">
      <c r="C481" s="1"/>
      <c r="D481" s="1"/>
      <c r="E481" s="1"/>
      <c r="F481" s="1"/>
      <c r="G481" s="1"/>
      <c r="H481" s="1"/>
      <c r="I481" s="1"/>
    </row>
    <row r="482" spans="3:9" x14ac:dyDescent="0.25">
      <c r="C482" s="1"/>
      <c r="D482" s="1"/>
      <c r="E482" s="1"/>
      <c r="F482" s="1"/>
      <c r="G482" s="1"/>
      <c r="H482" s="1"/>
      <c r="I482" s="1"/>
    </row>
    <row r="483" spans="3:9" x14ac:dyDescent="0.25">
      <c r="C483" s="1"/>
      <c r="D483" s="1"/>
      <c r="E483" s="1"/>
      <c r="F483" s="1"/>
      <c r="G483" s="1"/>
      <c r="H483" s="1"/>
      <c r="I483" s="1"/>
    </row>
    <row r="484" spans="3:9" x14ac:dyDescent="0.25">
      <c r="C484" s="1"/>
      <c r="D484" s="1"/>
      <c r="E484" s="1"/>
      <c r="F484" s="1"/>
      <c r="G484" s="1"/>
      <c r="H484" s="1"/>
      <c r="I484" s="1"/>
    </row>
    <row r="485" spans="3:9" x14ac:dyDescent="0.25">
      <c r="C485" s="1"/>
      <c r="D485" s="1"/>
      <c r="E485" s="1"/>
      <c r="F485" s="1"/>
      <c r="G485" s="1"/>
      <c r="H485" s="1"/>
      <c r="I485" s="1"/>
    </row>
    <row r="486" spans="3:9" x14ac:dyDescent="0.25">
      <c r="C486" s="1"/>
      <c r="D486" s="1"/>
      <c r="E486" s="1"/>
      <c r="F486" s="1"/>
      <c r="G486" s="1"/>
      <c r="H486" s="1"/>
      <c r="I486" s="1"/>
    </row>
    <row r="487" spans="3:9" x14ac:dyDescent="0.25">
      <c r="C487" s="1"/>
      <c r="D487" s="1"/>
      <c r="E487" s="1"/>
      <c r="F487" s="1"/>
      <c r="G487" s="1"/>
      <c r="H487" s="1"/>
      <c r="I487" s="1"/>
    </row>
    <row r="488" spans="3:9" x14ac:dyDescent="0.25">
      <c r="C488" s="1"/>
      <c r="D488" s="1"/>
      <c r="E488" s="1"/>
      <c r="F488" s="1"/>
      <c r="G488" s="1"/>
      <c r="H488" s="1"/>
      <c r="I488" s="1"/>
    </row>
    <row r="489" spans="3:9" x14ac:dyDescent="0.25">
      <c r="C489" s="1"/>
      <c r="D489" s="1"/>
      <c r="E489" s="1"/>
      <c r="F489" s="1"/>
      <c r="G489" s="1"/>
      <c r="H489" s="1"/>
      <c r="I489" s="1"/>
    </row>
    <row r="490" spans="3:9" x14ac:dyDescent="0.25">
      <c r="C490" s="1"/>
      <c r="D490" s="1"/>
      <c r="E490" s="1"/>
      <c r="F490" s="1"/>
      <c r="G490" s="1"/>
      <c r="H490" s="1"/>
      <c r="I490" s="1"/>
    </row>
    <row r="491" spans="3:9" x14ac:dyDescent="0.25">
      <c r="C491" s="1"/>
      <c r="D491" s="1"/>
      <c r="E491" s="1"/>
      <c r="F491" s="1"/>
      <c r="G491" s="1"/>
      <c r="H491" s="1"/>
      <c r="I491" s="1"/>
    </row>
    <row r="492" spans="3:9" x14ac:dyDescent="0.25">
      <c r="C492" s="1"/>
      <c r="D492" s="1"/>
      <c r="E492" s="1"/>
      <c r="F492" s="1"/>
      <c r="G492" s="1"/>
      <c r="H492" s="1"/>
      <c r="I492" s="1"/>
    </row>
    <row r="493" spans="3:9" x14ac:dyDescent="0.25">
      <c r="C493" s="1"/>
      <c r="D493" s="1"/>
      <c r="E493" s="1"/>
      <c r="F493" s="1"/>
      <c r="G493" s="1"/>
      <c r="H493" s="1"/>
      <c r="I493" s="1"/>
    </row>
    <row r="494" spans="3:9" x14ac:dyDescent="0.25">
      <c r="C494" s="1"/>
      <c r="D494" s="1"/>
      <c r="E494" s="1"/>
      <c r="F494" s="1"/>
      <c r="G494" s="1"/>
      <c r="H494" s="1"/>
      <c r="I494" s="1"/>
    </row>
    <row r="495" spans="3:9" x14ac:dyDescent="0.25">
      <c r="C495" s="1"/>
      <c r="D495" s="1"/>
      <c r="E495" s="1"/>
      <c r="F495" s="1"/>
      <c r="G495" s="1"/>
      <c r="H495" s="1"/>
      <c r="I495" s="1"/>
    </row>
    <row r="496" spans="3:9" x14ac:dyDescent="0.25">
      <c r="C496" s="1"/>
      <c r="D496" s="1"/>
      <c r="E496" s="1"/>
      <c r="F496" s="1"/>
      <c r="G496" s="1"/>
      <c r="H496" s="1"/>
      <c r="I496" s="1"/>
    </row>
    <row r="497" spans="3:9" x14ac:dyDescent="0.25">
      <c r="C497" s="1"/>
      <c r="D497" s="1"/>
      <c r="E497" s="1"/>
      <c r="F497" s="1"/>
      <c r="G497" s="1"/>
      <c r="H497" s="1"/>
      <c r="I497" s="1"/>
    </row>
    <row r="498" spans="3:9" x14ac:dyDescent="0.25">
      <c r="C498" s="1"/>
      <c r="D498" s="1"/>
      <c r="E498" s="1"/>
      <c r="F498" s="1"/>
      <c r="G498" s="1"/>
      <c r="H498" s="1"/>
      <c r="I498" s="1"/>
    </row>
    <row r="499" spans="3:9" x14ac:dyDescent="0.25">
      <c r="C499" s="1"/>
      <c r="D499" s="1"/>
      <c r="E499" s="1"/>
      <c r="F499" s="1"/>
      <c r="G499" s="1"/>
      <c r="H499" s="1"/>
      <c r="I499" s="1"/>
    </row>
    <row r="500" spans="3:9" x14ac:dyDescent="0.25">
      <c r="C500" s="1"/>
      <c r="D500" s="1"/>
      <c r="E500" s="1"/>
      <c r="F500" s="1"/>
      <c r="G500" s="1"/>
      <c r="H500" s="1"/>
      <c r="I500" s="1"/>
    </row>
    <row r="501" spans="3:9" x14ac:dyDescent="0.25">
      <c r="C501" s="1"/>
      <c r="D501" s="1"/>
      <c r="E501" s="1"/>
      <c r="F501" s="1"/>
      <c r="G501" s="1"/>
      <c r="H501" s="1"/>
      <c r="I501" s="1"/>
    </row>
    <row r="502" spans="3:9" x14ac:dyDescent="0.25">
      <c r="C502" s="1"/>
      <c r="D502" s="1"/>
      <c r="E502" s="1"/>
      <c r="F502" s="1"/>
      <c r="G502" s="1"/>
      <c r="H502" s="1"/>
      <c r="I502" s="1"/>
    </row>
    <row r="503" spans="3:9" x14ac:dyDescent="0.25">
      <c r="C503" s="1"/>
      <c r="D503" s="1"/>
      <c r="E503" s="1"/>
      <c r="F503" s="1"/>
      <c r="G503" s="1"/>
      <c r="H503" s="1"/>
      <c r="I503" s="1"/>
    </row>
    <row r="504" spans="3:9" x14ac:dyDescent="0.25">
      <c r="C504" s="1"/>
      <c r="D504" s="1"/>
      <c r="E504" s="1"/>
      <c r="F504" s="1"/>
      <c r="G504" s="1"/>
      <c r="H504" s="1"/>
      <c r="I504" s="1"/>
    </row>
    <row r="505" spans="3:9" x14ac:dyDescent="0.25">
      <c r="C505" s="1"/>
      <c r="D505" s="1"/>
      <c r="E505" s="1"/>
      <c r="F505" s="1"/>
      <c r="G505" s="1"/>
      <c r="H505" s="1"/>
      <c r="I505" s="1"/>
    </row>
    <row r="506" spans="3:9" x14ac:dyDescent="0.25">
      <c r="C506" s="1"/>
      <c r="D506" s="1"/>
      <c r="E506" s="1"/>
      <c r="F506" s="1"/>
      <c r="G506" s="1"/>
      <c r="H506" s="1"/>
      <c r="I506" s="1"/>
    </row>
    <row r="507" spans="3:9" x14ac:dyDescent="0.25">
      <c r="C507" s="1"/>
      <c r="D507" s="1"/>
      <c r="E507" s="1"/>
      <c r="F507" s="1"/>
      <c r="G507" s="1"/>
      <c r="H507" s="1"/>
      <c r="I507" s="1"/>
    </row>
    <row r="508" spans="3:9" x14ac:dyDescent="0.25">
      <c r="C508" s="1"/>
      <c r="D508" s="1"/>
      <c r="E508" s="1"/>
      <c r="F508" s="1"/>
      <c r="G508" s="1"/>
      <c r="H508" s="1"/>
      <c r="I508" s="1"/>
    </row>
    <row r="509" spans="3:9" x14ac:dyDescent="0.25">
      <c r="C509" s="1"/>
      <c r="D509" s="1"/>
      <c r="E509" s="1"/>
      <c r="F509" s="1"/>
      <c r="G509" s="1"/>
      <c r="H509" s="1"/>
      <c r="I509" s="1"/>
    </row>
    <row r="510" spans="3:9" x14ac:dyDescent="0.25">
      <c r="C510" s="1"/>
      <c r="D510" s="1"/>
      <c r="E510" s="1"/>
      <c r="F510" s="1"/>
      <c r="G510" s="1"/>
      <c r="H510" s="1"/>
      <c r="I510" s="1"/>
    </row>
    <row r="511" spans="3:9" x14ac:dyDescent="0.25">
      <c r="C511" s="1"/>
      <c r="D511" s="1"/>
      <c r="E511" s="1"/>
      <c r="F511" s="1"/>
      <c r="G511" s="1"/>
      <c r="H511" s="1"/>
      <c r="I511" s="1"/>
    </row>
    <row r="512" spans="3:9" x14ac:dyDescent="0.25">
      <c r="C512" s="1"/>
      <c r="D512" s="1"/>
      <c r="E512" s="1"/>
      <c r="F512" s="1"/>
      <c r="G512" s="1"/>
      <c r="H512" s="1"/>
      <c r="I512" s="1"/>
    </row>
    <row r="513" spans="3:9" x14ac:dyDescent="0.25">
      <c r="C513" s="1"/>
      <c r="D513" s="1"/>
      <c r="E513" s="1"/>
      <c r="F513" s="1"/>
      <c r="G513" s="1"/>
      <c r="H513" s="1"/>
      <c r="I513" s="1"/>
    </row>
    <row r="514" spans="3:9" x14ac:dyDescent="0.25">
      <c r="C514" s="1"/>
      <c r="D514" s="1"/>
      <c r="E514" s="1"/>
      <c r="F514" s="1"/>
      <c r="G514" s="1"/>
      <c r="H514" s="1"/>
      <c r="I514" s="1"/>
    </row>
    <row r="515" spans="3:9" x14ac:dyDescent="0.25">
      <c r="C515" s="1"/>
      <c r="D515" s="1"/>
      <c r="E515" s="1"/>
      <c r="F515" s="1"/>
      <c r="G515" s="1"/>
      <c r="H515" s="1"/>
      <c r="I515" s="1"/>
    </row>
    <row r="516" spans="3:9" x14ac:dyDescent="0.25">
      <c r="C516" s="1"/>
      <c r="D516" s="1"/>
      <c r="E516" s="1"/>
      <c r="F516" s="1"/>
      <c r="G516" s="1"/>
      <c r="H516" s="1"/>
      <c r="I516" s="1"/>
    </row>
    <row r="517" spans="3:9" x14ac:dyDescent="0.25">
      <c r="C517" s="1"/>
      <c r="D517" s="1"/>
      <c r="E517" s="1"/>
      <c r="F517" s="1"/>
      <c r="G517" s="1"/>
      <c r="H517" s="1"/>
      <c r="I517" s="1"/>
    </row>
    <row r="518" spans="3:9" x14ac:dyDescent="0.25">
      <c r="C518" s="1"/>
      <c r="D518" s="1"/>
      <c r="E518" s="1"/>
      <c r="F518" s="1"/>
      <c r="G518" s="1"/>
      <c r="H518" s="1"/>
      <c r="I518" s="1"/>
    </row>
    <row r="519" spans="3:9" x14ac:dyDescent="0.25">
      <c r="C519" s="1"/>
      <c r="D519" s="1"/>
      <c r="E519" s="1"/>
      <c r="F519" s="1"/>
      <c r="G519" s="1"/>
      <c r="H519" s="1"/>
      <c r="I519" s="1"/>
    </row>
    <row r="520" spans="3:9" x14ac:dyDescent="0.25">
      <c r="C520" s="1"/>
      <c r="D520" s="1"/>
      <c r="E520" s="1"/>
      <c r="F520" s="1"/>
      <c r="G520" s="1"/>
      <c r="H520" s="1"/>
      <c r="I520" s="1"/>
    </row>
    <row r="521" spans="3:9" x14ac:dyDescent="0.25">
      <c r="C521" s="1"/>
      <c r="D521" s="1"/>
      <c r="E521" s="1"/>
      <c r="F521" s="1"/>
      <c r="G521" s="1"/>
      <c r="H521" s="1"/>
      <c r="I521" s="1"/>
    </row>
    <row r="522" spans="3:9" x14ac:dyDescent="0.25">
      <c r="C522" s="1"/>
      <c r="D522" s="1"/>
      <c r="E522" s="1"/>
      <c r="F522" s="1"/>
      <c r="G522" s="1"/>
      <c r="H522" s="1"/>
      <c r="I522" s="1"/>
    </row>
    <row r="523" spans="3:9" x14ac:dyDescent="0.25">
      <c r="C523" s="1"/>
      <c r="D523" s="1"/>
      <c r="E523" s="1"/>
      <c r="F523" s="1"/>
      <c r="G523" s="1"/>
      <c r="H523" s="1"/>
      <c r="I523" s="1"/>
    </row>
    <row r="524" spans="3:9" x14ac:dyDescent="0.25">
      <c r="C524" s="1"/>
      <c r="D524" s="1"/>
      <c r="E524" s="1"/>
      <c r="F524" s="1"/>
      <c r="G524" s="1"/>
      <c r="H524" s="1"/>
      <c r="I524" s="1"/>
    </row>
    <row r="525" spans="3:9" x14ac:dyDescent="0.25">
      <c r="C525" s="1"/>
      <c r="D525" s="1"/>
      <c r="E525" s="1"/>
      <c r="F525" s="1"/>
      <c r="G525" s="1"/>
      <c r="H525" s="1"/>
      <c r="I525" s="1"/>
    </row>
    <row r="526" spans="3:9" x14ac:dyDescent="0.25">
      <c r="C526" s="1"/>
      <c r="D526" s="1"/>
      <c r="E526" s="1"/>
      <c r="F526" s="1"/>
      <c r="G526" s="1"/>
      <c r="H526" s="1"/>
      <c r="I526" s="1"/>
    </row>
    <row r="527" spans="3:9" x14ac:dyDescent="0.25">
      <c r="C527" s="1"/>
      <c r="D527" s="1"/>
      <c r="E527" s="1"/>
      <c r="F527" s="1"/>
      <c r="G527" s="1"/>
      <c r="H527" s="1"/>
      <c r="I527" s="1"/>
    </row>
    <row r="528" spans="3:9" x14ac:dyDescent="0.25">
      <c r="C528" s="1"/>
      <c r="D528" s="1"/>
      <c r="E528" s="1"/>
      <c r="F528" s="1"/>
      <c r="G528" s="1"/>
      <c r="H528" s="1"/>
      <c r="I528" s="1"/>
    </row>
    <row r="529" spans="3:9" x14ac:dyDescent="0.25">
      <c r="C529" s="1"/>
      <c r="D529" s="1"/>
      <c r="E529" s="1"/>
      <c r="F529" s="1"/>
      <c r="G529" s="1"/>
      <c r="H529" s="1"/>
      <c r="I529" s="1"/>
    </row>
    <row r="530" spans="3:9" x14ac:dyDescent="0.25">
      <c r="C530" s="1"/>
      <c r="D530" s="1"/>
      <c r="E530" s="1"/>
      <c r="F530" s="1"/>
      <c r="G530" s="1"/>
      <c r="H530" s="1"/>
      <c r="I530" s="1"/>
    </row>
    <row r="531" spans="3:9" x14ac:dyDescent="0.25">
      <c r="C531" s="1"/>
      <c r="D531" s="1"/>
      <c r="E531" s="1"/>
      <c r="F531" s="1"/>
      <c r="G531" s="1"/>
      <c r="H531" s="1"/>
      <c r="I531" s="1"/>
    </row>
    <row r="532" spans="3:9" x14ac:dyDescent="0.25">
      <c r="C532" s="1"/>
      <c r="D532" s="1"/>
      <c r="E532" s="1"/>
      <c r="F532" s="1"/>
      <c r="G532" s="1"/>
      <c r="H532" s="1"/>
      <c r="I532" s="1"/>
    </row>
    <row r="533" spans="3:9" x14ac:dyDescent="0.25">
      <c r="C533" s="1"/>
      <c r="D533" s="1"/>
      <c r="E533" s="1"/>
      <c r="F533" s="1"/>
      <c r="G533" s="1"/>
      <c r="H533" s="1"/>
      <c r="I533" s="1"/>
    </row>
    <row r="534" spans="3:9" x14ac:dyDescent="0.25">
      <c r="C534" s="1"/>
      <c r="D534" s="1"/>
      <c r="E534" s="1"/>
      <c r="F534" s="1"/>
      <c r="G534" s="1"/>
      <c r="H534" s="1"/>
      <c r="I534" s="1"/>
    </row>
    <row r="535" spans="3:9" x14ac:dyDescent="0.25">
      <c r="C535" s="1"/>
      <c r="D535" s="1"/>
      <c r="E535" s="1"/>
      <c r="F535" s="1"/>
      <c r="G535" s="1"/>
      <c r="H535" s="1"/>
      <c r="I535" s="1"/>
    </row>
    <row r="536" spans="3:9" x14ac:dyDescent="0.25">
      <c r="C536" s="1"/>
      <c r="D536" s="1"/>
      <c r="E536" s="1"/>
      <c r="F536" s="1"/>
      <c r="G536" s="1"/>
      <c r="H536" s="1"/>
      <c r="I536" s="1"/>
    </row>
    <row r="537" spans="3:9" x14ac:dyDescent="0.25">
      <c r="C537" s="1"/>
      <c r="D537" s="1"/>
      <c r="E537" s="1"/>
      <c r="F537" s="1"/>
      <c r="G537" s="1"/>
      <c r="H537" s="1"/>
      <c r="I537" s="1"/>
    </row>
    <row r="538" spans="3:9" x14ac:dyDescent="0.25">
      <c r="C538" s="1"/>
      <c r="D538" s="1"/>
      <c r="E538" s="1"/>
      <c r="F538" s="1"/>
      <c r="G538" s="1"/>
      <c r="H538" s="1"/>
      <c r="I538" s="1"/>
    </row>
    <row r="539" spans="3:9" x14ac:dyDescent="0.25">
      <c r="C539" s="1"/>
      <c r="D539" s="1"/>
      <c r="E539" s="1"/>
      <c r="F539" s="1"/>
      <c r="G539" s="1"/>
      <c r="H539" s="1"/>
      <c r="I539" s="1"/>
    </row>
    <row r="540" spans="3:9" x14ac:dyDescent="0.25">
      <c r="C540" s="1"/>
      <c r="D540" s="1"/>
      <c r="E540" s="1"/>
      <c r="F540" s="1"/>
      <c r="G540" s="1"/>
      <c r="H540" s="1"/>
      <c r="I540" s="1"/>
    </row>
    <row r="541" spans="3:9" x14ac:dyDescent="0.25">
      <c r="C541" s="1"/>
      <c r="D541" s="1"/>
      <c r="E541" s="1"/>
      <c r="F541" s="1"/>
      <c r="G541" s="1"/>
      <c r="H541" s="1"/>
      <c r="I541" s="1"/>
    </row>
    <row r="542" spans="3:9" x14ac:dyDescent="0.25">
      <c r="C542" s="1"/>
      <c r="D542" s="1"/>
      <c r="E542" s="1"/>
      <c r="F542" s="1"/>
      <c r="G542" s="1"/>
      <c r="H542" s="1"/>
      <c r="I542" s="1"/>
    </row>
    <row r="543" spans="3:9" x14ac:dyDescent="0.25">
      <c r="C543" s="1"/>
      <c r="D543" s="1"/>
      <c r="E543" s="1"/>
      <c r="F543" s="1"/>
      <c r="G543" s="1"/>
      <c r="H543" s="1"/>
      <c r="I543" s="1"/>
    </row>
    <row r="544" spans="3:9" x14ac:dyDescent="0.25">
      <c r="C544" s="1"/>
      <c r="D544" s="1"/>
      <c r="E544" s="1"/>
      <c r="F544" s="1"/>
      <c r="G544" s="1"/>
      <c r="H544" s="1"/>
      <c r="I544" s="1"/>
    </row>
    <row r="545" spans="3:9" x14ac:dyDescent="0.25">
      <c r="C545" s="1"/>
      <c r="D545" s="1"/>
      <c r="E545" s="1"/>
      <c r="F545" s="1"/>
      <c r="G545" s="1"/>
      <c r="H545" s="1"/>
      <c r="I545" s="1"/>
    </row>
    <row r="546" spans="3:9" x14ac:dyDescent="0.25">
      <c r="C546" s="1"/>
      <c r="D546" s="1"/>
      <c r="E546" s="1"/>
      <c r="F546" s="1"/>
      <c r="G546" s="1"/>
      <c r="H546" s="1"/>
      <c r="I546" s="1"/>
    </row>
    <row r="547" spans="3:9" x14ac:dyDescent="0.25">
      <c r="C547" s="1"/>
      <c r="D547" s="1"/>
      <c r="E547" s="1"/>
      <c r="F547" s="1"/>
      <c r="G547" s="1"/>
      <c r="H547" s="1"/>
      <c r="I547" s="1"/>
    </row>
    <row r="548" spans="3:9" x14ac:dyDescent="0.25">
      <c r="C548" s="1"/>
      <c r="D548" s="1"/>
      <c r="E548" s="1"/>
      <c r="F548" s="1"/>
      <c r="G548" s="1"/>
      <c r="H548" s="1"/>
      <c r="I548" s="1"/>
    </row>
    <row r="549" spans="3:9" x14ac:dyDescent="0.25">
      <c r="C549" s="1"/>
      <c r="D549" s="1"/>
      <c r="E549" s="1"/>
      <c r="F549" s="1"/>
      <c r="G549" s="1"/>
      <c r="H549" s="1"/>
      <c r="I549" s="1"/>
    </row>
    <row r="550" spans="3:9" x14ac:dyDescent="0.25">
      <c r="C550" s="1"/>
      <c r="D550" s="1"/>
      <c r="E550" s="1"/>
      <c r="F550" s="1"/>
      <c r="G550" s="1"/>
      <c r="H550" s="1"/>
      <c r="I550" s="1"/>
    </row>
    <row r="551" spans="3:9" x14ac:dyDescent="0.25">
      <c r="C551" s="1"/>
      <c r="D551" s="1"/>
      <c r="E551" s="1"/>
      <c r="F551" s="1"/>
      <c r="G551" s="1"/>
      <c r="H551" s="1"/>
      <c r="I551" s="1"/>
    </row>
    <row r="552" spans="3:9" x14ac:dyDescent="0.25">
      <c r="C552" s="1"/>
      <c r="D552" s="1"/>
      <c r="E552" s="1"/>
      <c r="F552" s="1"/>
      <c r="G552" s="1"/>
      <c r="H552" s="1"/>
      <c r="I552" s="1"/>
    </row>
    <row r="553" spans="3:9" x14ac:dyDescent="0.25">
      <c r="C553" s="1"/>
      <c r="D553" s="1"/>
      <c r="E553" s="1"/>
      <c r="F553" s="1"/>
      <c r="G553" s="1"/>
      <c r="H553" s="1"/>
      <c r="I553" s="1"/>
    </row>
    <row r="554" spans="3:9" x14ac:dyDescent="0.25">
      <c r="C554" s="1"/>
      <c r="D554" s="1"/>
      <c r="E554" s="1"/>
      <c r="F554" s="1"/>
      <c r="G554" s="1"/>
      <c r="H554" s="1"/>
      <c r="I554" s="1"/>
    </row>
    <row r="555" spans="3:9" x14ac:dyDescent="0.25">
      <c r="C555" s="1"/>
      <c r="D555" s="1"/>
      <c r="E555" s="1"/>
      <c r="F555" s="1"/>
      <c r="G555" s="1"/>
      <c r="H555" s="1"/>
      <c r="I555" s="1"/>
    </row>
    <row r="556" spans="3:9" x14ac:dyDescent="0.25">
      <c r="C556" s="1"/>
      <c r="D556" s="1"/>
      <c r="E556" s="1"/>
      <c r="F556" s="1"/>
      <c r="G556" s="1"/>
      <c r="H556" s="1"/>
      <c r="I556" s="1"/>
    </row>
    <row r="557" spans="3:9" x14ac:dyDescent="0.25">
      <c r="C557" s="1"/>
      <c r="D557" s="1"/>
      <c r="E557" s="1"/>
      <c r="F557" s="1"/>
      <c r="G557" s="1"/>
      <c r="H557" s="1"/>
      <c r="I557" s="1"/>
    </row>
    <row r="558" spans="3:9" x14ac:dyDescent="0.25">
      <c r="C558" s="1"/>
      <c r="D558" s="1"/>
      <c r="E558" s="1"/>
      <c r="F558" s="1"/>
      <c r="G558" s="1"/>
      <c r="H558" s="1"/>
      <c r="I558" s="1"/>
    </row>
    <row r="559" spans="3:9" x14ac:dyDescent="0.25">
      <c r="C559" s="1"/>
      <c r="D559" s="1"/>
      <c r="E559" s="1"/>
      <c r="F559" s="1"/>
      <c r="G559" s="1"/>
      <c r="H559" s="1"/>
      <c r="I559" s="1"/>
    </row>
    <row r="560" spans="3:9" x14ac:dyDescent="0.25">
      <c r="C560" s="1"/>
      <c r="D560" s="1"/>
      <c r="E560" s="1"/>
      <c r="F560" s="1"/>
      <c r="G560" s="1"/>
      <c r="H560" s="1"/>
      <c r="I560" s="1"/>
    </row>
    <row r="561" spans="3:9" x14ac:dyDescent="0.25">
      <c r="C561" s="1"/>
      <c r="D561" s="1"/>
      <c r="E561" s="1"/>
      <c r="F561" s="1"/>
      <c r="G561" s="1"/>
      <c r="H561" s="1"/>
      <c r="I561" s="1"/>
    </row>
    <row r="562" spans="3:9" x14ac:dyDescent="0.25">
      <c r="C562" s="1"/>
      <c r="D562" s="1"/>
      <c r="E562" s="1"/>
      <c r="F562" s="1"/>
      <c r="G562" s="1"/>
      <c r="H562" s="1"/>
      <c r="I562" s="1"/>
    </row>
    <row r="563" spans="3:9" x14ac:dyDescent="0.25">
      <c r="C563" s="1"/>
      <c r="D563" s="1"/>
      <c r="E563" s="1"/>
      <c r="F563" s="1"/>
      <c r="G563" s="1"/>
      <c r="H563" s="1"/>
      <c r="I563" s="1"/>
    </row>
    <row r="564" spans="3:9" x14ac:dyDescent="0.25">
      <c r="C564" s="1"/>
      <c r="D564" s="1"/>
      <c r="E564" s="1"/>
      <c r="F564" s="1"/>
      <c r="G564" s="1"/>
      <c r="H564" s="1"/>
      <c r="I564" s="1"/>
    </row>
    <row r="565" spans="3:9" x14ac:dyDescent="0.25">
      <c r="C565" s="1"/>
      <c r="D565" s="1"/>
      <c r="E565" s="1"/>
      <c r="F565" s="1"/>
      <c r="G565" s="1"/>
      <c r="H565" s="1"/>
      <c r="I565" s="1"/>
    </row>
    <row r="566" spans="3:9" x14ac:dyDescent="0.25">
      <c r="C566" s="1"/>
      <c r="D566" s="1"/>
      <c r="E566" s="1"/>
      <c r="F566" s="1"/>
      <c r="G566" s="1"/>
      <c r="H566" s="1"/>
      <c r="I566" s="1"/>
    </row>
    <row r="567" spans="3:9" x14ac:dyDescent="0.25">
      <c r="C567" s="1"/>
      <c r="D567" s="1"/>
      <c r="E567" s="1"/>
      <c r="F567" s="1"/>
      <c r="G567" s="1"/>
      <c r="H567" s="1"/>
      <c r="I567" s="1"/>
    </row>
    <row r="568" spans="3:9" x14ac:dyDescent="0.25">
      <c r="C568" s="1"/>
      <c r="D568" s="1"/>
      <c r="E568" s="1"/>
      <c r="F568" s="1"/>
      <c r="G568" s="1"/>
      <c r="H568" s="1"/>
      <c r="I568" s="1"/>
    </row>
    <row r="569" spans="3:9" x14ac:dyDescent="0.25">
      <c r="C569" s="1"/>
      <c r="D569" s="1"/>
      <c r="E569" s="1"/>
      <c r="F569" s="1"/>
      <c r="G569" s="1"/>
      <c r="H569" s="1"/>
      <c r="I569" s="1"/>
    </row>
    <row r="570" spans="3:9" x14ac:dyDescent="0.25">
      <c r="C570" s="1"/>
      <c r="D570" s="1"/>
      <c r="E570" s="1"/>
      <c r="F570" s="1"/>
      <c r="G570" s="1"/>
      <c r="H570" s="1"/>
      <c r="I570" s="1"/>
    </row>
    <row r="571" spans="3:9" x14ac:dyDescent="0.25">
      <c r="C571" s="1"/>
      <c r="D571" s="1"/>
      <c r="E571" s="1"/>
      <c r="F571" s="1"/>
      <c r="G571" s="1"/>
      <c r="H571" s="1"/>
      <c r="I571" s="1"/>
    </row>
    <row r="572" spans="3:9" x14ac:dyDescent="0.25">
      <c r="C572" s="1"/>
      <c r="D572" s="1"/>
      <c r="E572" s="1"/>
      <c r="F572" s="1"/>
      <c r="G572" s="1"/>
      <c r="H572" s="1"/>
      <c r="I572" s="1"/>
    </row>
    <row r="573" spans="3:9" x14ac:dyDescent="0.25">
      <c r="C573" s="1"/>
      <c r="D573" s="1"/>
      <c r="E573" s="1"/>
      <c r="F573" s="1"/>
      <c r="G573" s="1"/>
      <c r="H573" s="1"/>
      <c r="I573" s="1"/>
    </row>
    <row r="574" spans="3:9" x14ac:dyDescent="0.25">
      <c r="C574" s="1"/>
      <c r="D574" s="1"/>
      <c r="E574" s="1"/>
      <c r="F574" s="1"/>
      <c r="G574" s="1"/>
      <c r="H574" s="1"/>
      <c r="I574" s="1"/>
    </row>
    <row r="575" spans="3:9" x14ac:dyDescent="0.25">
      <c r="C575" s="1"/>
      <c r="D575" s="1"/>
      <c r="E575" s="1"/>
      <c r="F575" s="1"/>
      <c r="G575" s="1"/>
      <c r="H575" s="1"/>
      <c r="I575" s="1"/>
    </row>
    <row r="576" spans="3:9" x14ac:dyDescent="0.25">
      <c r="C576" s="1"/>
      <c r="D576" s="1"/>
      <c r="E576" s="1"/>
      <c r="F576" s="1"/>
      <c r="G576" s="1"/>
      <c r="H576" s="1"/>
      <c r="I576" s="1"/>
    </row>
    <row r="577" spans="3:9" x14ac:dyDescent="0.25">
      <c r="C577" s="1"/>
      <c r="D577" s="1"/>
      <c r="E577" s="1"/>
      <c r="F577" s="1"/>
      <c r="G577" s="1"/>
      <c r="H577" s="1"/>
      <c r="I577" s="1"/>
    </row>
    <row r="578" spans="3:9" x14ac:dyDescent="0.25">
      <c r="C578" s="1"/>
      <c r="D578" s="1"/>
      <c r="E578" s="1"/>
      <c r="F578" s="1"/>
      <c r="G578" s="1"/>
      <c r="H578" s="1"/>
      <c r="I578" s="1"/>
    </row>
    <row r="579" spans="3:9" x14ac:dyDescent="0.25">
      <c r="C579" s="1"/>
      <c r="D579" s="1"/>
      <c r="E579" s="1"/>
      <c r="F579" s="1"/>
      <c r="G579" s="1"/>
      <c r="H579" s="1"/>
      <c r="I579" s="1"/>
    </row>
    <row r="580" spans="3:9" x14ac:dyDescent="0.25">
      <c r="C580" s="1"/>
      <c r="D580" s="1"/>
      <c r="E580" s="1"/>
      <c r="F580" s="1"/>
      <c r="G580" s="1"/>
      <c r="H580" s="1"/>
      <c r="I580" s="1"/>
    </row>
    <row r="581" spans="3:9" x14ac:dyDescent="0.25">
      <c r="C581" s="1"/>
      <c r="D581" s="1"/>
      <c r="E581" s="1"/>
      <c r="F581" s="1"/>
      <c r="G581" s="1"/>
      <c r="H581" s="1"/>
      <c r="I581" s="1"/>
    </row>
    <row r="582" spans="3:9" x14ac:dyDescent="0.25">
      <c r="C582" s="1"/>
      <c r="D582" s="1"/>
      <c r="E582" s="1"/>
      <c r="F582" s="1"/>
      <c r="G582" s="1"/>
      <c r="H582" s="1"/>
      <c r="I582" s="1"/>
    </row>
    <row r="583" spans="3:9" x14ac:dyDescent="0.25">
      <c r="C583" s="1"/>
      <c r="D583" s="1"/>
      <c r="E583" s="1"/>
      <c r="F583" s="1"/>
      <c r="G583" s="1"/>
      <c r="H583" s="1"/>
      <c r="I583" s="1"/>
    </row>
    <row r="584" spans="3:9" x14ac:dyDescent="0.25">
      <c r="C584" s="1"/>
      <c r="D584" s="1"/>
      <c r="E584" s="1"/>
      <c r="F584" s="1"/>
      <c r="G584" s="1"/>
      <c r="H584" s="1"/>
      <c r="I584" s="1"/>
    </row>
    <row r="585" spans="3:9" x14ac:dyDescent="0.25">
      <c r="C585" s="1"/>
      <c r="D585" s="1"/>
      <c r="E585" s="1"/>
      <c r="F585" s="1"/>
      <c r="G585" s="1"/>
      <c r="H585" s="1"/>
      <c r="I585" s="1"/>
    </row>
    <row r="586" spans="3:9" x14ac:dyDescent="0.25">
      <c r="C586" s="1"/>
      <c r="D586" s="1"/>
      <c r="E586" s="1"/>
      <c r="F586" s="1"/>
      <c r="G586" s="1"/>
      <c r="H586" s="1"/>
      <c r="I586" s="1"/>
    </row>
    <row r="587" spans="3:9" x14ac:dyDescent="0.25">
      <c r="C587" s="1"/>
      <c r="D587" s="1"/>
      <c r="E587" s="1"/>
      <c r="F587" s="1"/>
      <c r="G587" s="1"/>
      <c r="H587" s="1"/>
      <c r="I587" s="1"/>
    </row>
    <row r="588" spans="3:9" x14ac:dyDescent="0.25">
      <c r="C588" s="1"/>
      <c r="D588" s="1"/>
      <c r="E588" s="1"/>
      <c r="F588" s="1"/>
      <c r="G588" s="1"/>
      <c r="H588" s="1"/>
      <c r="I588" s="1"/>
    </row>
    <row r="589" spans="3:9" x14ac:dyDescent="0.25">
      <c r="C589" s="1"/>
      <c r="D589" s="1"/>
      <c r="E589" s="1"/>
      <c r="F589" s="1"/>
      <c r="G589" s="1"/>
      <c r="H589" s="1"/>
      <c r="I589" s="1"/>
    </row>
    <row r="590" spans="3:9" x14ac:dyDescent="0.25">
      <c r="C590" s="1"/>
      <c r="D590" s="1"/>
      <c r="E590" s="1"/>
      <c r="F590" s="1"/>
      <c r="G590" s="1"/>
      <c r="H590" s="1"/>
      <c r="I590" s="1"/>
    </row>
    <row r="591" spans="3:9" x14ac:dyDescent="0.25">
      <c r="C591" s="1"/>
      <c r="D591" s="1"/>
      <c r="E591" s="1"/>
      <c r="F591" s="1"/>
      <c r="G591" s="1"/>
      <c r="H591" s="1"/>
      <c r="I591" s="1"/>
    </row>
    <row r="592" spans="3:9" x14ac:dyDescent="0.25">
      <c r="C592" s="1"/>
      <c r="D592" s="1"/>
      <c r="E592" s="1"/>
      <c r="F592" s="1"/>
      <c r="G592" s="1"/>
      <c r="H592" s="1"/>
      <c r="I592" s="1"/>
    </row>
    <row r="593" spans="3:9" x14ac:dyDescent="0.25">
      <c r="C593" s="1"/>
      <c r="D593" s="1"/>
      <c r="E593" s="1"/>
      <c r="F593" s="1"/>
      <c r="G593" s="1"/>
      <c r="H593" s="1"/>
      <c r="I593" s="1"/>
    </row>
    <row r="594" spans="3:9" x14ac:dyDescent="0.25">
      <c r="C594" s="1"/>
      <c r="D594" s="1"/>
      <c r="E594" s="1"/>
      <c r="F594" s="1"/>
      <c r="G594" s="1"/>
      <c r="H594" s="1"/>
      <c r="I594" s="1"/>
    </row>
    <row r="595" spans="3:9" x14ac:dyDescent="0.25">
      <c r="C595" s="1"/>
      <c r="D595" s="1"/>
      <c r="E595" s="1"/>
      <c r="F595" s="1"/>
      <c r="G595" s="1"/>
      <c r="H595" s="1"/>
      <c r="I595" s="1"/>
    </row>
    <row r="596" spans="3:9" x14ac:dyDescent="0.25">
      <c r="C596" s="1"/>
      <c r="D596" s="1"/>
      <c r="E596" s="1"/>
      <c r="F596" s="1"/>
      <c r="G596" s="1"/>
      <c r="H596" s="1"/>
      <c r="I596" s="1"/>
    </row>
    <row r="597" spans="3:9" x14ac:dyDescent="0.25">
      <c r="C597" s="1"/>
      <c r="D597" s="1"/>
      <c r="E597" s="1"/>
      <c r="F597" s="1"/>
      <c r="G597" s="1"/>
      <c r="H597" s="1"/>
      <c r="I597" s="1"/>
    </row>
    <row r="598" spans="3:9" x14ac:dyDescent="0.25">
      <c r="C598" s="1"/>
      <c r="D598" s="1"/>
      <c r="E598" s="1"/>
      <c r="F598" s="1"/>
      <c r="G598" s="1"/>
      <c r="H598" s="1"/>
      <c r="I598" s="1"/>
    </row>
    <row r="599" spans="3:9" x14ac:dyDescent="0.25">
      <c r="C599" s="1"/>
      <c r="D599" s="1"/>
      <c r="E599" s="1"/>
      <c r="F599" s="1"/>
      <c r="G599" s="1"/>
      <c r="H599" s="1"/>
      <c r="I599" s="1"/>
    </row>
    <row r="600" spans="3:9" x14ac:dyDescent="0.25">
      <c r="C600" s="1"/>
      <c r="D600" s="1"/>
      <c r="E600" s="1"/>
      <c r="F600" s="1"/>
      <c r="G600" s="1"/>
      <c r="H600" s="1"/>
      <c r="I600" s="1"/>
    </row>
    <row r="601" spans="3:9" x14ac:dyDescent="0.25">
      <c r="C601" s="1"/>
      <c r="D601" s="1"/>
      <c r="E601" s="1"/>
      <c r="F601" s="1"/>
      <c r="G601" s="1"/>
      <c r="H601" s="1"/>
      <c r="I601" s="1"/>
    </row>
    <row r="602" spans="3:9" x14ac:dyDescent="0.25">
      <c r="C602" s="1"/>
      <c r="D602" s="1"/>
      <c r="E602" s="1"/>
      <c r="F602" s="1"/>
      <c r="G602" s="1"/>
      <c r="H602" s="1"/>
      <c r="I602" s="1"/>
    </row>
    <row r="603" spans="3:9" x14ac:dyDescent="0.25">
      <c r="C603" s="1"/>
      <c r="D603" s="1"/>
      <c r="E603" s="1"/>
      <c r="F603" s="1"/>
      <c r="G603" s="1"/>
      <c r="H603" s="1"/>
      <c r="I603" s="1"/>
    </row>
    <row r="604" spans="3:9" x14ac:dyDescent="0.25">
      <c r="C604" s="1"/>
      <c r="D604" s="1"/>
      <c r="E604" s="1"/>
      <c r="F604" s="1"/>
      <c r="G604" s="1"/>
      <c r="H604" s="1"/>
      <c r="I604" s="1"/>
    </row>
    <row r="605" spans="3:9" x14ac:dyDescent="0.25">
      <c r="C605" s="1"/>
      <c r="D605" s="1"/>
      <c r="E605" s="1"/>
      <c r="F605" s="1"/>
      <c r="G605" s="1"/>
      <c r="H605" s="1"/>
      <c r="I605" s="1"/>
    </row>
    <row r="606" spans="3:9" x14ac:dyDescent="0.25">
      <c r="C606" s="1"/>
      <c r="D606" s="1"/>
      <c r="E606" s="1"/>
      <c r="F606" s="1"/>
      <c r="G606" s="1"/>
      <c r="H606" s="1"/>
      <c r="I606" s="1"/>
    </row>
    <row r="607" spans="3:9" x14ac:dyDescent="0.25">
      <c r="C607" s="1"/>
      <c r="D607" s="1"/>
      <c r="E607" s="1"/>
      <c r="F607" s="1"/>
      <c r="G607" s="1"/>
      <c r="H607" s="1"/>
      <c r="I607" s="1"/>
    </row>
    <row r="608" spans="3:9" x14ac:dyDescent="0.25">
      <c r="C608" s="1"/>
      <c r="D608" s="1"/>
      <c r="E608" s="1"/>
      <c r="F608" s="1"/>
      <c r="G608" s="1"/>
      <c r="H608" s="1"/>
      <c r="I608" s="1"/>
    </row>
    <row r="609" spans="3:9" x14ac:dyDescent="0.25">
      <c r="C609" s="1"/>
      <c r="D609" s="1"/>
      <c r="E609" s="1"/>
      <c r="F609" s="1"/>
      <c r="G609" s="1"/>
      <c r="H609" s="1"/>
      <c r="I609" s="1"/>
    </row>
    <row r="610" spans="3:9" x14ac:dyDescent="0.25">
      <c r="C610" s="1"/>
      <c r="D610" s="1"/>
      <c r="E610" s="1"/>
      <c r="F610" s="1"/>
      <c r="G610" s="1"/>
      <c r="H610" s="1"/>
      <c r="I610" s="1"/>
    </row>
    <row r="611" spans="3:9" x14ac:dyDescent="0.25">
      <c r="C611" s="1"/>
      <c r="D611" s="1"/>
      <c r="E611" s="1"/>
      <c r="F611" s="1"/>
      <c r="G611" s="1"/>
      <c r="H611" s="1"/>
      <c r="I611" s="1"/>
    </row>
    <row r="612" spans="3:9" x14ac:dyDescent="0.25">
      <c r="C612" s="1"/>
      <c r="D612" s="1"/>
      <c r="E612" s="1"/>
      <c r="F612" s="1"/>
      <c r="G612" s="1"/>
      <c r="H612" s="1"/>
      <c r="I612" s="1"/>
    </row>
    <row r="613" spans="3:9" x14ac:dyDescent="0.25">
      <c r="C613" s="1"/>
      <c r="D613" s="1"/>
      <c r="E613" s="1"/>
      <c r="F613" s="1"/>
      <c r="G613" s="1"/>
      <c r="H613" s="1"/>
      <c r="I613" s="1"/>
    </row>
    <row r="614" spans="3:9" x14ac:dyDescent="0.25">
      <c r="C614" s="1"/>
      <c r="D614" s="1"/>
      <c r="E614" s="1"/>
      <c r="F614" s="1"/>
      <c r="G614" s="1"/>
      <c r="H614" s="1"/>
      <c r="I614" s="1"/>
    </row>
    <row r="615" spans="3:9" x14ac:dyDescent="0.25">
      <c r="C615" s="1"/>
      <c r="D615" s="1"/>
      <c r="E615" s="1"/>
      <c r="F615" s="1"/>
      <c r="G615" s="1"/>
      <c r="H615" s="1"/>
      <c r="I615" s="1"/>
    </row>
    <row r="616" spans="3:9" x14ac:dyDescent="0.25">
      <c r="C616" s="1"/>
      <c r="D616" s="1"/>
      <c r="E616" s="1"/>
      <c r="F616" s="1"/>
      <c r="G616" s="1"/>
      <c r="H616" s="1"/>
      <c r="I616" s="1"/>
    </row>
    <row r="617" spans="3:9" x14ac:dyDescent="0.25">
      <c r="C617" s="1"/>
      <c r="D617" s="1"/>
      <c r="E617" s="1"/>
      <c r="F617" s="1"/>
      <c r="G617" s="1"/>
      <c r="H617" s="1"/>
      <c r="I617" s="1"/>
    </row>
    <row r="618" spans="3:9" x14ac:dyDescent="0.25">
      <c r="C618" s="1"/>
      <c r="D618" s="1"/>
      <c r="E618" s="1"/>
      <c r="F618" s="1"/>
      <c r="G618" s="1"/>
      <c r="H618" s="1"/>
      <c r="I618" s="1"/>
    </row>
    <row r="619" spans="3:9" x14ac:dyDescent="0.25">
      <c r="C619" s="1"/>
      <c r="D619" s="1"/>
      <c r="E619" s="1"/>
      <c r="F619" s="1"/>
      <c r="G619" s="1"/>
      <c r="H619" s="1"/>
      <c r="I619" s="1"/>
    </row>
    <row r="620" spans="3:9" x14ac:dyDescent="0.25">
      <c r="C620" s="1"/>
      <c r="D620" s="1"/>
      <c r="E620" s="1"/>
      <c r="F620" s="1"/>
      <c r="G620" s="1"/>
      <c r="H620" s="1"/>
      <c r="I620" s="1"/>
    </row>
    <row r="621" spans="3:9" x14ac:dyDescent="0.25">
      <c r="C621" s="1"/>
      <c r="D621" s="1"/>
      <c r="E621" s="1"/>
      <c r="F621" s="1"/>
      <c r="G621" s="1"/>
      <c r="H621" s="1"/>
      <c r="I621" s="1"/>
    </row>
    <row r="622" spans="3:9" x14ac:dyDescent="0.25">
      <c r="C622" s="1"/>
      <c r="D622" s="1"/>
      <c r="E622" s="1"/>
      <c r="F622" s="1"/>
      <c r="G622" s="1"/>
      <c r="H622" s="1"/>
      <c r="I622" s="1"/>
    </row>
    <row r="623" spans="3:9" x14ac:dyDescent="0.25">
      <c r="C623" s="1"/>
      <c r="D623" s="1"/>
      <c r="E623" s="1"/>
      <c r="F623" s="1"/>
      <c r="G623" s="1"/>
      <c r="H623" s="1"/>
      <c r="I623" s="1"/>
    </row>
    <row r="624" spans="3:9" x14ac:dyDescent="0.25">
      <c r="C624" s="1"/>
      <c r="D624" s="1"/>
      <c r="E624" s="1"/>
      <c r="F624" s="1"/>
      <c r="G624" s="1"/>
      <c r="H624" s="1"/>
      <c r="I624" s="1"/>
    </row>
    <row r="625" spans="3:9" x14ac:dyDescent="0.25">
      <c r="C625" s="1"/>
      <c r="D625" s="1"/>
      <c r="E625" s="1"/>
      <c r="F625" s="1"/>
      <c r="G625" s="1"/>
      <c r="H625" s="1"/>
      <c r="I625" s="1"/>
    </row>
    <row r="626" spans="3:9" x14ac:dyDescent="0.25">
      <c r="C626" s="1"/>
      <c r="D626" s="1"/>
      <c r="E626" s="1"/>
      <c r="F626" s="1"/>
      <c r="G626" s="1"/>
      <c r="H626" s="1"/>
      <c r="I626" s="1"/>
    </row>
    <row r="627" spans="3:9" x14ac:dyDescent="0.25">
      <c r="C627" s="1"/>
      <c r="D627" s="1"/>
      <c r="E627" s="1"/>
      <c r="F627" s="1"/>
      <c r="G627" s="1"/>
      <c r="H627" s="1"/>
      <c r="I627" s="1"/>
    </row>
    <row r="628" spans="3:9" x14ac:dyDescent="0.25">
      <c r="C628" s="1"/>
      <c r="D628" s="1"/>
      <c r="E628" s="1"/>
      <c r="F628" s="1"/>
      <c r="G628" s="1"/>
      <c r="H628" s="1"/>
      <c r="I628" s="1"/>
    </row>
  </sheetData>
  <mergeCells count="2">
    <mergeCell ref="C15:D15"/>
    <mergeCell ref="C16:D16"/>
  </mergeCells>
  <conditionalFormatting sqref="E18:I19">
    <cfRule type="containsText" dxfId="0" priority="1" operator="containsText" text="X_n">
      <formula>NOT(ISERROR(SEARCH("X_n",E18)))</formula>
    </cfRule>
  </conditionalFormatting>
  <dataValidations count="1">
    <dataValidation type="list" allowBlank="1" showInputMessage="1" showErrorMessage="1" sqref="C9">
      <formula1>metodos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HE20"/>
  <sheetViews>
    <sheetView workbookViewId="0">
      <selection sqref="A1:B1048576"/>
    </sheetView>
  </sheetViews>
  <sheetFormatPr baseColWidth="10" defaultRowHeight="15" x14ac:dyDescent="0.25"/>
  <cols>
    <col min="2" max="2" width="19.5703125" customWidth="1"/>
    <col min="5" max="5" width="12" bestFit="1" customWidth="1"/>
    <col min="93" max="93" width="11.85546875" bestFit="1" customWidth="1"/>
    <col min="209" max="213" width="12" customWidth="1"/>
  </cols>
  <sheetData>
    <row r="1" spans="1:213" x14ac:dyDescent="0.25">
      <c r="A1">
        <v>0.72125243026299279</v>
      </c>
      <c r="B1">
        <v>-1.6985316367533374</v>
      </c>
    </row>
    <row r="2" spans="1:213" x14ac:dyDescent="0.25">
      <c r="A2">
        <v>-0.8492658183766687</v>
      </c>
      <c r="B2">
        <v>1</v>
      </c>
      <c r="E2" s="2"/>
      <c r="F2" s="2"/>
      <c r="G2" s="2"/>
      <c r="H2" s="2"/>
      <c r="I2" s="2"/>
      <c r="J2" s="2"/>
    </row>
    <row r="4" spans="1:213" x14ac:dyDescent="0.25">
      <c r="C4" s="2"/>
      <c r="D4" s="3" t="s">
        <v>20</v>
      </c>
      <c r="E4" s="2"/>
      <c r="F4" s="3" t="s">
        <v>10</v>
      </c>
      <c r="G4" s="2"/>
      <c r="H4" s="3" t="s">
        <v>9</v>
      </c>
      <c r="I4" s="2"/>
      <c r="J4" s="3" t="s">
        <v>8</v>
      </c>
      <c r="K4" s="2"/>
      <c r="L4" s="3" t="s">
        <v>7</v>
      </c>
      <c r="M4" s="2"/>
      <c r="N4" s="3" t="s">
        <v>6</v>
      </c>
      <c r="O4" s="2"/>
      <c r="P4" s="3" t="s">
        <v>5</v>
      </c>
      <c r="Q4" s="2"/>
      <c r="R4" s="3" t="s">
        <v>1</v>
      </c>
      <c r="S4" s="2"/>
      <c r="T4" s="3" t="s">
        <v>4</v>
      </c>
      <c r="U4" s="2"/>
      <c r="V4" s="3" t="s">
        <v>3</v>
      </c>
      <c r="W4" s="2"/>
      <c r="X4" s="3" t="s">
        <v>2</v>
      </c>
      <c r="Z4" t="s">
        <v>11</v>
      </c>
    </row>
    <row r="5" spans="1:213" x14ac:dyDescent="0.25">
      <c r="Z5" t="s">
        <v>12</v>
      </c>
    </row>
    <row r="6" spans="1:213" x14ac:dyDescent="0.25">
      <c r="E6" s="3" t="s">
        <v>17</v>
      </c>
      <c r="F6" s="3" t="s">
        <v>15</v>
      </c>
      <c r="G6" s="2"/>
      <c r="H6" s="3" t="s">
        <v>16</v>
      </c>
      <c r="I6" s="2"/>
      <c r="J6" s="3" t="s">
        <v>18</v>
      </c>
      <c r="K6" s="2"/>
      <c r="Z6" t="s">
        <v>13</v>
      </c>
      <c r="GY6" s="9" t="s">
        <v>111</v>
      </c>
      <c r="GZ6" s="9"/>
    </row>
    <row r="7" spans="1:213" x14ac:dyDescent="0.25">
      <c r="GY7" s="10" t="s">
        <v>13</v>
      </c>
      <c r="GZ7" s="10"/>
    </row>
    <row r="8" spans="1:213" x14ac:dyDescent="0.25">
      <c r="E8" s="3" t="s">
        <v>19</v>
      </c>
      <c r="F8" s="2"/>
      <c r="G8" s="3" t="s">
        <v>18</v>
      </c>
      <c r="H8" s="2"/>
      <c r="HA8" s="8" t="s">
        <v>112</v>
      </c>
      <c r="HB8" s="8" t="s">
        <v>117</v>
      </c>
      <c r="HC8" s="8" t="s">
        <v>118</v>
      </c>
      <c r="HD8" s="8" t="s">
        <v>113</v>
      </c>
      <c r="HE8" s="8" t="s">
        <v>18</v>
      </c>
    </row>
    <row r="9" spans="1:213" x14ac:dyDescent="0.25">
      <c r="HA9" s="7"/>
      <c r="HB9" s="7"/>
      <c r="HC9" s="7"/>
      <c r="HD9" s="7"/>
      <c r="HE9" s="7"/>
    </row>
    <row r="10" spans="1:213" x14ac:dyDescent="0.25">
      <c r="C10" s="2"/>
      <c r="D10" s="3" t="s">
        <v>29</v>
      </c>
      <c r="E10" s="2"/>
      <c r="F10" s="3" t="s">
        <v>45</v>
      </c>
      <c r="G10" s="2"/>
      <c r="H10" s="3" t="s">
        <v>54</v>
      </c>
      <c r="I10" s="2"/>
      <c r="J10" s="3" t="s">
        <v>62</v>
      </c>
      <c r="K10" s="2"/>
      <c r="L10" s="3" t="s">
        <v>70</v>
      </c>
      <c r="M10" s="2"/>
      <c r="N10" s="3" t="s">
        <v>78</v>
      </c>
      <c r="O10" s="2"/>
      <c r="P10" s="3" t="s">
        <v>86</v>
      </c>
      <c r="Q10" s="2"/>
      <c r="R10" s="3" t="s">
        <v>94</v>
      </c>
      <c r="S10" s="2"/>
      <c r="T10" s="3" t="s">
        <v>102</v>
      </c>
      <c r="U10" s="2"/>
      <c r="V10" s="5" t="s">
        <v>110</v>
      </c>
      <c r="W10" s="2"/>
      <c r="X10" s="3" t="s">
        <v>28</v>
      </c>
      <c r="Y10" s="2"/>
      <c r="Z10" s="3" t="s">
        <v>44</v>
      </c>
      <c r="AA10" s="2"/>
      <c r="AB10" s="3" t="s">
        <v>53</v>
      </c>
      <c r="AC10" s="2"/>
      <c r="AD10" s="3" t="s">
        <v>61</v>
      </c>
      <c r="AE10" s="2"/>
      <c r="AF10" s="3" t="s">
        <v>69</v>
      </c>
      <c r="AG10" s="2"/>
      <c r="AH10" s="3" t="s">
        <v>77</v>
      </c>
      <c r="AI10" s="2"/>
      <c r="AJ10" s="3" t="s">
        <v>85</v>
      </c>
      <c r="AK10" s="2"/>
      <c r="AL10" s="3" t="s">
        <v>93</v>
      </c>
      <c r="AM10" s="2"/>
      <c r="AN10" s="3" t="s">
        <v>101</v>
      </c>
      <c r="AO10" s="2"/>
      <c r="AP10" s="5" t="s">
        <v>109</v>
      </c>
      <c r="AQ10" s="2"/>
      <c r="AR10" s="3" t="s">
        <v>27</v>
      </c>
      <c r="AS10" s="2"/>
      <c r="AT10" s="3" t="s">
        <v>43</v>
      </c>
      <c r="AU10" s="2"/>
      <c r="AV10" s="3" t="s">
        <v>52</v>
      </c>
      <c r="AW10" s="2"/>
      <c r="AX10" s="3" t="s">
        <v>60</v>
      </c>
      <c r="AY10" s="2"/>
      <c r="AZ10" s="3" t="s">
        <v>68</v>
      </c>
      <c r="BA10" s="2"/>
      <c r="BB10" s="3" t="s">
        <v>76</v>
      </c>
      <c r="BC10" s="2"/>
      <c r="BD10" s="3" t="s">
        <v>84</v>
      </c>
      <c r="BE10" s="2"/>
      <c r="BF10" s="3" t="s">
        <v>92</v>
      </c>
      <c r="BG10" s="2"/>
      <c r="BH10" s="3" t="s">
        <v>100</v>
      </c>
      <c r="BI10" s="2"/>
      <c r="BJ10" s="5" t="s">
        <v>108</v>
      </c>
      <c r="BK10" s="2"/>
      <c r="BL10" s="3" t="s">
        <v>26</v>
      </c>
      <c r="BM10" s="2"/>
      <c r="BN10" s="3" t="s">
        <v>42</v>
      </c>
      <c r="BO10" s="2"/>
      <c r="BP10" s="3" t="s">
        <v>51</v>
      </c>
      <c r="BQ10" s="2"/>
      <c r="BR10" s="3" t="s">
        <v>59</v>
      </c>
      <c r="BS10" s="2"/>
      <c r="BT10" s="3" t="s">
        <v>67</v>
      </c>
      <c r="BU10" s="2"/>
      <c r="BV10" s="3" t="s">
        <v>75</v>
      </c>
      <c r="BW10" s="2"/>
      <c r="BX10" s="3" t="s">
        <v>83</v>
      </c>
      <c r="BY10" s="2"/>
      <c r="BZ10" s="3" t="s">
        <v>91</v>
      </c>
      <c r="CA10" s="2"/>
      <c r="CB10" s="3" t="s">
        <v>99</v>
      </c>
      <c r="CC10" s="2"/>
      <c r="CD10" s="5" t="s">
        <v>107</v>
      </c>
      <c r="CE10" s="2"/>
      <c r="CF10" s="3" t="s">
        <v>25</v>
      </c>
      <c r="CG10" s="2"/>
      <c r="CH10" s="3" t="s">
        <v>41</v>
      </c>
      <c r="CI10" s="2"/>
      <c r="CJ10" s="3" t="s">
        <v>50</v>
      </c>
      <c r="CK10" s="2"/>
      <c r="CL10" s="3" t="s">
        <v>58</v>
      </c>
      <c r="CM10" s="2"/>
      <c r="CN10" s="3" t="s">
        <v>66</v>
      </c>
      <c r="CO10" s="2"/>
      <c r="CP10" s="3" t="s">
        <v>74</v>
      </c>
      <c r="CQ10" s="2"/>
      <c r="CR10" s="3" t="s">
        <v>82</v>
      </c>
      <c r="CS10" s="2"/>
      <c r="CT10" s="3" t="s">
        <v>90</v>
      </c>
      <c r="CU10" s="2"/>
      <c r="CV10" s="3" t="s">
        <v>98</v>
      </c>
      <c r="CW10" s="2"/>
      <c r="CX10" s="5" t="s">
        <v>106</v>
      </c>
      <c r="CY10" s="2"/>
      <c r="CZ10" s="3" t="s">
        <v>24</v>
      </c>
      <c r="DA10" s="2"/>
      <c r="DB10" s="3" t="s">
        <v>40</v>
      </c>
      <c r="DC10" s="2"/>
      <c r="DD10" s="3" t="s">
        <v>49</v>
      </c>
      <c r="DE10" s="2"/>
      <c r="DF10" s="3" t="s">
        <v>57</v>
      </c>
      <c r="DG10" s="2"/>
      <c r="DH10" s="3" t="s">
        <v>65</v>
      </c>
      <c r="DI10" s="2"/>
      <c r="DJ10" s="3" t="s">
        <v>73</v>
      </c>
      <c r="DK10" s="2"/>
      <c r="DL10" s="3" t="s">
        <v>81</v>
      </c>
      <c r="DM10" s="2"/>
      <c r="DN10" s="3" t="s">
        <v>89</v>
      </c>
      <c r="DO10" s="2"/>
      <c r="DP10" s="3" t="s">
        <v>97</v>
      </c>
      <c r="DQ10" s="2"/>
      <c r="DR10" s="5" t="s">
        <v>105</v>
      </c>
      <c r="DS10" s="2"/>
      <c r="DT10" s="3" t="s">
        <v>23</v>
      </c>
      <c r="DU10" s="2"/>
      <c r="DV10" s="3" t="s">
        <v>39</v>
      </c>
      <c r="DW10" s="2"/>
      <c r="DX10" s="3" t="s">
        <v>48</v>
      </c>
      <c r="DY10" s="2"/>
      <c r="DZ10" s="3" t="s">
        <v>56</v>
      </c>
      <c r="EA10" s="2"/>
      <c r="EB10" s="3" t="s">
        <v>64</v>
      </c>
      <c r="EC10" s="2"/>
      <c r="ED10" s="3" t="s">
        <v>72</v>
      </c>
      <c r="EE10" s="2"/>
      <c r="EF10" s="3" t="s">
        <v>80</v>
      </c>
      <c r="EG10" s="2"/>
      <c r="EH10" s="3" t="s">
        <v>88</v>
      </c>
      <c r="EI10" s="2"/>
      <c r="EJ10" s="3" t="s">
        <v>96</v>
      </c>
      <c r="EK10" s="2"/>
      <c r="EL10" s="5" t="s">
        <v>104</v>
      </c>
      <c r="EM10" s="2"/>
      <c r="EN10" s="3" t="s">
        <v>22</v>
      </c>
      <c r="EO10" s="2"/>
      <c r="EP10" s="3" t="s">
        <v>38</v>
      </c>
      <c r="EQ10" s="2"/>
      <c r="ER10" s="3" t="s">
        <v>47</v>
      </c>
      <c r="ES10" s="2"/>
      <c r="ET10" s="3" t="s">
        <v>37</v>
      </c>
      <c r="EU10" s="2"/>
      <c r="EV10" s="3" t="s">
        <v>36</v>
      </c>
      <c r="EW10" s="2"/>
      <c r="EX10" s="3" t="s">
        <v>35</v>
      </c>
      <c r="EY10" s="2"/>
      <c r="EZ10" s="3" t="s">
        <v>34</v>
      </c>
      <c r="FA10" s="2"/>
      <c r="FB10" s="3" t="s">
        <v>33</v>
      </c>
      <c r="FC10" s="2"/>
      <c r="FD10" s="3" t="s">
        <v>32</v>
      </c>
      <c r="FE10" s="2"/>
      <c r="FF10" s="5" t="s">
        <v>31</v>
      </c>
      <c r="FG10" s="2"/>
      <c r="FH10" s="3" t="s">
        <v>21</v>
      </c>
      <c r="FI10" s="2"/>
      <c r="FJ10" s="3" t="s">
        <v>30</v>
      </c>
      <c r="FK10" s="2"/>
      <c r="FL10" s="3" t="s">
        <v>46</v>
      </c>
      <c r="FM10" s="2"/>
      <c r="FN10" s="3" t="s">
        <v>55</v>
      </c>
      <c r="FO10" s="2"/>
      <c r="FP10" s="3" t="s">
        <v>63</v>
      </c>
      <c r="FQ10" s="2"/>
      <c r="FR10" s="3" t="s">
        <v>71</v>
      </c>
      <c r="FS10" s="2"/>
      <c r="FT10" s="3" t="s">
        <v>79</v>
      </c>
      <c r="FU10" s="2"/>
      <c r="FV10" s="3" t="s">
        <v>87</v>
      </c>
      <c r="FW10" s="2"/>
      <c r="FX10" s="3" t="s">
        <v>95</v>
      </c>
      <c r="FY10" s="2"/>
      <c r="FZ10" s="5" t="s">
        <v>103</v>
      </c>
      <c r="GA10" s="2"/>
      <c r="GB10" s="3" t="s">
        <v>20</v>
      </c>
      <c r="GC10" s="2"/>
      <c r="GD10" s="3" t="s">
        <v>10</v>
      </c>
      <c r="GE10" s="2"/>
      <c r="GF10" s="3" t="s">
        <v>9</v>
      </c>
      <c r="GG10" s="2"/>
      <c r="GH10" s="3" t="s">
        <v>8</v>
      </c>
      <c r="GI10" s="2"/>
      <c r="GJ10" s="3" t="s">
        <v>7</v>
      </c>
      <c r="GK10" s="2"/>
      <c r="GL10" s="3" t="s">
        <v>6</v>
      </c>
      <c r="GM10" s="2"/>
      <c r="GN10" s="3" t="s">
        <v>5</v>
      </c>
      <c r="GO10" s="2"/>
      <c r="GP10" s="3" t="s">
        <v>1</v>
      </c>
      <c r="GQ10" s="2"/>
      <c r="GR10" s="3" t="s">
        <v>4</v>
      </c>
      <c r="GS10" s="2"/>
      <c r="GT10" s="3" t="s">
        <v>3</v>
      </c>
      <c r="GU10" s="2"/>
      <c r="GV10" s="3" t="s">
        <v>2</v>
      </c>
      <c r="HA10" s="1"/>
      <c r="HB10" s="1"/>
      <c r="HC10" s="1"/>
      <c r="HD10" s="1"/>
      <c r="HE10" s="1"/>
    </row>
    <row r="12" spans="1:213" x14ac:dyDescent="0.25">
      <c r="C12">
        <f>A1*Hoja1!C7</f>
        <v>0</v>
      </c>
      <c r="D12">
        <f>A2*Hoja1!E7</f>
        <v>0</v>
      </c>
      <c r="E12">
        <f>A3*Hoja1!G7</f>
        <v>0</v>
      </c>
      <c r="F12">
        <f>A4*Hoja1!I7</f>
        <v>0</v>
      </c>
      <c r="G12">
        <f>A5*Hoja1!K7</f>
        <v>0</v>
      </c>
      <c r="H12">
        <f>A6*Hoja1!M7</f>
        <v>0</v>
      </c>
      <c r="I12">
        <f>A7*Hoja1!O7</f>
        <v>0</v>
      </c>
      <c r="J12">
        <f>A8*Hoja1!Q7</f>
        <v>0</v>
      </c>
      <c r="K12">
        <f>A9*Hoja1!S7</f>
        <v>0</v>
      </c>
      <c r="L12">
        <f>A10*Hoja1!U7</f>
        <v>0</v>
      </c>
      <c r="M12">
        <f>A11*Hoja1!W7</f>
        <v>0</v>
      </c>
      <c r="N12">
        <f>A12*Hoja1!Y7</f>
        <v>0</v>
      </c>
      <c r="O12">
        <f>A13*Hoja1!AA7</f>
        <v>0</v>
      </c>
      <c r="P12">
        <f>A14*Hoja1!AC7</f>
        <v>0</v>
      </c>
      <c r="Q12">
        <f>A15*Hoja1!AE7</f>
        <v>0</v>
      </c>
      <c r="R12">
        <f>A16*Hoja1!AG7</f>
        <v>0</v>
      </c>
      <c r="S12">
        <f>A17*Hoja1!AI7</f>
        <v>0</v>
      </c>
      <c r="T12">
        <f>A18*Hoja1!AK7</f>
        <v>0</v>
      </c>
      <c r="U12">
        <f>A19*Hoja1!AM7</f>
        <v>0</v>
      </c>
      <c r="V12">
        <f>A20*Hoja1!AO7</f>
        <v>0</v>
      </c>
      <c r="W12">
        <f>A21*Hoja1!AQ7</f>
        <v>0</v>
      </c>
      <c r="X12">
        <f>A22*Hoja1!AS7</f>
        <v>0</v>
      </c>
      <c r="Y12">
        <f>A23*Hoja1!AU7</f>
        <v>0</v>
      </c>
      <c r="Z12">
        <f>A24*Hoja1!AW7</f>
        <v>0</v>
      </c>
      <c r="AA12">
        <f>A25*Hoja1!AY7</f>
        <v>0</v>
      </c>
      <c r="AB12">
        <f>A26*Hoja1!BA7</f>
        <v>0</v>
      </c>
      <c r="AC12">
        <f>A27*Hoja1!BC7</f>
        <v>0</v>
      </c>
      <c r="AD12">
        <f>A28*Hoja1!BE7</f>
        <v>0</v>
      </c>
      <c r="AE12">
        <f>A29*Hoja1!BG7</f>
        <v>0</v>
      </c>
      <c r="AF12">
        <f>A30*Hoja1!BI7</f>
        <v>0</v>
      </c>
      <c r="AG12">
        <f>A31*Hoja1!BK7</f>
        <v>0</v>
      </c>
      <c r="AH12">
        <f>A32*Hoja1!BM7</f>
        <v>0</v>
      </c>
      <c r="AI12">
        <f>A33*Hoja1!BO7</f>
        <v>0</v>
      </c>
      <c r="AJ12">
        <f>A34*Hoja1!BQ7</f>
        <v>0</v>
      </c>
      <c r="AK12">
        <f>A35*Hoja1!BS7</f>
        <v>0</v>
      </c>
      <c r="AL12">
        <f>A36*Hoja1!BU7</f>
        <v>0</v>
      </c>
      <c r="AM12">
        <f>A37*Hoja1!BW7</f>
        <v>0</v>
      </c>
      <c r="AN12">
        <f>A38*Hoja1!BY7</f>
        <v>0</v>
      </c>
      <c r="AO12">
        <f>A39*Hoja1!CA7</f>
        <v>0</v>
      </c>
      <c r="AP12">
        <f>A40*Hoja1!CC7</f>
        <v>0</v>
      </c>
      <c r="AQ12">
        <f>A41*Hoja1!CE7</f>
        <v>0</v>
      </c>
      <c r="AR12">
        <f>A42*Hoja1!CG7</f>
        <v>0</v>
      </c>
      <c r="AS12">
        <f>A43*Hoja1!CI7</f>
        <v>0</v>
      </c>
      <c r="AT12">
        <f>A44*Hoja1!CK7</f>
        <v>0</v>
      </c>
      <c r="AU12">
        <f>A45*Hoja1!CM7</f>
        <v>0</v>
      </c>
      <c r="AV12">
        <f>A46*Hoja1!CO7</f>
        <v>0</v>
      </c>
      <c r="AW12">
        <f>A47*Hoja1!CQ7</f>
        <v>0</v>
      </c>
      <c r="AX12">
        <f>A48*Hoja1!CS7</f>
        <v>0</v>
      </c>
      <c r="AY12">
        <f>A49*Hoja1!CU7</f>
        <v>0</v>
      </c>
      <c r="AZ12">
        <f>A50*Hoja1!CW7</f>
        <v>0</v>
      </c>
      <c r="BA12">
        <f>A51*Hoja1!CY7</f>
        <v>0</v>
      </c>
      <c r="BB12">
        <f>A52*Hoja1!DA7</f>
        <v>0</v>
      </c>
      <c r="BC12">
        <f>A53*Hoja1!DC7</f>
        <v>0</v>
      </c>
      <c r="BD12">
        <f>A54*Hoja1!DE7</f>
        <v>0</v>
      </c>
      <c r="BE12">
        <f>A55*Hoja1!DG7</f>
        <v>0</v>
      </c>
      <c r="BF12">
        <f>A56*Hoja1!DI7</f>
        <v>0</v>
      </c>
      <c r="BG12">
        <f>A57*Hoja1!DK7</f>
        <v>0</v>
      </c>
      <c r="BH12">
        <f>A58*Hoja1!DM7</f>
        <v>0</v>
      </c>
      <c r="BI12">
        <f>A59*Hoja1!DO7</f>
        <v>0</v>
      </c>
      <c r="BJ12">
        <f>A60*Hoja1!DQ7</f>
        <v>0</v>
      </c>
      <c r="BK12">
        <f>A61*Hoja1!DS7</f>
        <v>0</v>
      </c>
      <c r="BL12">
        <f>A62*Hoja1!DU7</f>
        <v>0</v>
      </c>
      <c r="BM12">
        <f>A63*Hoja1!DW7</f>
        <v>0</v>
      </c>
      <c r="BN12">
        <f>A64*Hoja1!DY7</f>
        <v>0</v>
      </c>
      <c r="BO12">
        <f>A65*Hoja1!EA7</f>
        <v>0</v>
      </c>
      <c r="BP12">
        <f>A66*Hoja1!EC7</f>
        <v>0</v>
      </c>
      <c r="BQ12">
        <f>A67*Hoja1!EE7</f>
        <v>0</v>
      </c>
      <c r="BR12">
        <f>A68*Hoja1!EG7</f>
        <v>0</v>
      </c>
      <c r="BS12">
        <f>A69*Hoja1!EI7</f>
        <v>0</v>
      </c>
      <c r="BT12">
        <f>A70*Hoja1!EK7</f>
        <v>0</v>
      </c>
      <c r="BU12">
        <f>A71*Hoja1!EM7</f>
        <v>0</v>
      </c>
      <c r="BV12">
        <f>A72*Hoja1!EO7</f>
        <v>0</v>
      </c>
      <c r="BW12">
        <f>A73*Hoja1!EQ7</f>
        <v>0</v>
      </c>
      <c r="BX12">
        <f>A74*Hoja1!ES7</f>
        <v>0</v>
      </c>
      <c r="BY12">
        <f>A75*Hoja1!EU7</f>
        <v>0</v>
      </c>
      <c r="BZ12">
        <f>A76*Hoja1!EW7</f>
        <v>0</v>
      </c>
      <c r="CA12">
        <f>A77*Hoja1!EY7</f>
        <v>0</v>
      </c>
      <c r="CB12">
        <f>A78*Hoja1!FA7</f>
        <v>0</v>
      </c>
      <c r="CC12">
        <f>A79*Hoja1!FC7</f>
        <v>0</v>
      </c>
      <c r="CD12">
        <f>A80*Hoja1!FE7</f>
        <v>0</v>
      </c>
      <c r="CE12">
        <f>A81*Hoja1!FG7</f>
        <v>0</v>
      </c>
      <c r="CF12">
        <f>A82*Hoja1!FI7</f>
        <v>0</v>
      </c>
      <c r="CG12">
        <f>A83*Hoja1!FK7</f>
        <v>0</v>
      </c>
      <c r="CH12">
        <f>A84*Hoja1!FM7</f>
        <v>0</v>
      </c>
      <c r="CI12">
        <f>A85*Hoja1!FO7</f>
        <v>0</v>
      </c>
      <c r="CJ12">
        <f>A86*Hoja1!FQ7</f>
        <v>0</v>
      </c>
      <c r="CK12">
        <f>A87*Hoja1!FS7</f>
        <v>0</v>
      </c>
      <c r="CL12">
        <f>A88*Hoja1!FU7</f>
        <v>0</v>
      </c>
      <c r="CM12">
        <f>A89*Hoja1!FW7</f>
        <v>0</v>
      </c>
      <c r="CN12">
        <f>A90*Hoja1!FY7</f>
        <v>0</v>
      </c>
      <c r="CO12">
        <f>A91*Hoja1!GA7</f>
        <v>0</v>
      </c>
      <c r="CP12">
        <f>A92*Hoja1!GC7</f>
        <v>0</v>
      </c>
      <c r="CQ12">
        <f>A93*Hoja1!GE7</f>
        <v>0</v>
      </c>
      <c r="CR12">
        <f>A94*Hoja1!GG7</f>
        <v>0</v>
      </c>
      <c r="CS12">
        <f>A95*Hoja1!GI7</f>
        <v>0</v>
      </c>
      <c r="CT12">
        <f>A96*Hoja1!GK7</f>
        <v>0</v>
      </c>
      <c r="CU12">
        <f>A97*Hoja1!GM7</f>
        <v>0</v>
      </c>
      <c r="CV12">
        <f>A98*Hoja1!GO7</f>
        <v>0</v>
      </c>
      <c r="CW12">
        <f>A99*Hoja1!GQ7</f>
        <v>0</v>
      </c>
      <c r="CX12">
        <f>A100*Hoja1!GS7</f>
        <v>0</v>
      </c>
    </row>
    <row r="13" spans="1:213" x14ac:dyDescent="0.25">
      <c r="C13">
        <f>SUM(C12:CY12)</f>
        <v>0</v>
      </c>
      <c r="D13">
        <f>SUM(D14:GV14)</f>
        <v>0</v>
      </c>
      <c r="E13" s="2">
        <f>SUM(Hoja2!D13,Hoja2!C13)</f>
        <v>0</v>
      </c>
      <c r="F13" t="s">
        <v>115</v>
      </c>
    </row>
    <row r="14" spans="1:213" x14ac:dyDescent="0.25">
      <c r="D14">
        <f>IF(Hoja1!D7="x^1",Hoja1!E7,0)</f>
        <v>0</v>
      </c>
      <c r="E14">
        <f>IF(Hoja1!E7="x^1",Hoja1!F7,0)</f>
        <v>0</v>
      </c>
      <c r="F14">
        <f>IF(Hoja1!F7="x^1",Hoja1!G7,0)</f>
        <v>0</v>
      </c>
      <c r="G14">
        <f>IF(Hoja1!G7="x^1",Hoja1!H7,0)</f>
        <v>0</v>
      </c>
      <c r="H14">
        <f>IF(Hoja1!H7="x^1",Hoja1!I7,0)</f>
        <v>0</v>
      </c>
      <c r="I14">
        <f>IF(Hoja1!I7="x^1",Hoja1!J7,0)</f>
        <v>0</v>
      </c>
      <c r="J14">
        <f>IF(Hoja1!J7="x^1",Hoja1!K7,0)</f>
        <v>0</v>
      </c>
      <c r="K14">
        <f>IF(Hoja1!K7="x^1",Hoja1!L7,0)</f>
        <v>0</v>
      </c>
      <c r="L14">
        <f>IF(Hoja1!L7="x^1",Hoja1!M7,0)</f>
        <v>0</v>
      </c>
      <c r="M14">
        <f>IF(Hoja1!M7="x^1",Hoja1!N7,0)</f>
        <v>0</v>
      </c>
      <c r="N14">
        <f>IF(Hoja1!N7="x^1",Hoja1!O7,0)</f>
        <v>0</v>
      </c>
      <c r="O14">
        <f>IF(Hoja1!O7="x^1",Hoja1!P7,0)</f>
        <v>0</v>
      </c>
      <c r="P14">
        <f>IF(Hoja1!P7="x^1",Hoja1!Q7,0)</f>
        <v>0</v>
      </c>
      <c r="Q14">
        <f>IF(Hoja1!Q7="x^1",Hoja1!R7,0)</f>
        <v>0</v>
      </c>
      <c r="R14">
        <f>IF(Hoja1!R7="x^1",Hoja1!S7,0)</f>
        <v>0</v>
      </c>
      <c r="S14">
        <f>IF(Hoja1!S7="x^1",Hoja1!T7,0)</f>
        <v>0</v>
      </c>
      <c r="T14">
        <f>IF(Hoja1!T7="x^1",Hoja1!U7,0)</f>
        <v>0</v>
      </c>
      <c r="U14">
        <f>IF(Hoja1!U7="x^1",Hoja1!V7,0)</f>
        <v>0</v>
      </c>
      <c r="V14">
        <f>IF(Hoja1!V7="x^1",Hoja1!W7,0)</f>
        <v>0</v>
      </c>
      <c r="W14">
        <f>IF(Hoja1!W7="x^1",Hoja1!X7,0)</f>
        <v>0</v>
      </c>
      <c r="X14">
        <f>IF(Hoja1!X7="x^1",Hoja1!Y7,0)</f>
        <v>0</v>
      </c>
      <c r="Y14">
        <f>IF(Hoja1!Y7="x^1",Hoja1!Z7,0)</f>
        <v>0</v>
      </c>
      <c r="Z14">
        <f>IF(Hoja1!Z7="x^1",Hoja1!AA7,0)</f>
        <v>0</v>
      </c>
      <c r="AA14">
        <f>IF(Hoja1!AA7="x^1",Hoja1!AB7,0)</f>
        <v>0</v>
      </c>
      <c r="AB14">
        <f>IF(Hoja1!AB7="x^1",Hoja1!AC7,0)</f>
        <v>0</v>
      </c>
      <c r="AC14">
        <f>IF(Hoja1!AC7="x^1",Hoja1!AD7,0)</f>
        <v>0</v>
      </c>
      <c r="AD14">
        <f>IF(Hoja1!AD7="x^1",Hoja1!AE7,0)</f>
        <v>0</v>
      </c>
      <c r="AE14">
        <f>IF(Hoja1!AE7="x^1",Hoja1!AF7,0)</f>
        <v>0</v>
      </c>
      <c r="AF14">
        <f>IF(Hoja1!AF7="x^1",Hoja1!AG7,0)</f>
        <v>0</v>
      </c>
      <c r="AG14">
        <f>IF(Hoja1!AG7="x^1",Hoja1!AH7,0)</f>
        <v>0</v>
      </c>
      <c r="AH14">
        <f>IF(Hoja1!AH7="x^1",Hoja1!AI7,0)</f>
        <v>0</v>
      </c>
      <c r="AI14">
        <f>IF(Hoja1!AI7="x^1",Hoja1!AJ7,0)</f>
        <v>0</v>
      </c>
      <c r="AJ14">
        <f>IF(Hoja1!AJ7="x^1",Hoja1!AK7,0)</f>
        <v>0</v>
      </c>
      <c r="AK14">
        <f>IF(Hoja1!AK7="x^1",Hoja1!AL7,0)</f>
        <v>0</v>
      </c>
      <c r="AL14">
        <f>IF(Hoja1!AL7="x^1",Hoja1!AM7,0)</f>
        <v>0</v>
      </c>
      <c r="AM14">
        <f>IF(Hoja1!AM7="x^1",Hoja1!AN7,0)</f>
        <v>0</v>
      </c>
      <c r="AN14">
        <f>IF(Hoja1!AN7="x^1",Hoja1!AO7,0)</f>
        <v>0</v>
      </c>
      <c r="AO14">
        <f>IF(Hoja1!AO7="x^1",Hoja1!AP7,0)</f>
        <v>0</v>
      </c>
      <c r="AP14">
        <f>IF(Hoja1!AP7="x^1",Hoja1!AQ7,0)</f>
        <v>0</v>
      </c>
      <c r="AQ14">
        <f>IF(Hoja1!AQ7="x^1",Hoja1!AR7,0)</f>
        <v>0</v>
      </c>
      <c r="AR14">
        <f>IF(Hoja1!AR7="x^1",Hoja1!AS7,0)</f>
        <v>0</v>
      </c>
      <c r="AS14">
        <f>IF(Hoja1!AS7="x^1",Hoja1!AT7,0)</f>
        <v>0</v>
      </c>
      <c r="AT14">
        <f>IF(Hoja1!AT7="x^1",Hoja1!AU7,0)</f>
        <v>0</v>
      </c>
      <c r="AU14">
        <f>IF(Hoja1!AU7="x^1",Hoja1!AV7,0)</f>
        <v>0</v>
      </c>
      <c r="AV14">
        <f>IF(Hoja1!AV7="x^1",Hoja1!AW7,0)</f>
        <v>0</v>
      </c>
      <c r="AW14">
        <f>IF(Hoja1!AW7="x^1",Hoja1!AX7,0)</f>
        <v>0</v>
      </c>
      <c r="AX14">
        <f>IF(Hoja1!AX7="x^1",Hoja1!AY7,0)</f>
        <v>0</v>
      </c>
      <c r="AY14">
        <f>IF(Hoja1!AY7="x^1",Hoja1!AZ7,0)</f>
        <v>0</v>
      </c>
      <c r="AZ14">
        <f>IF(Hoja1!AZ7="x^1",Hoja1!BA7,0)</f>
        <v>0</v>
      </c>
      <c r="BA14">
        <f>IF(Hoja1!BA7="x^1",Hoja1!BB7,0)</f>
        <v>0</v>
      </c>
      <c r="BB14">
        <f>IF(Hoja1!BB7="x^1",Hoja1!BC7,0)</f>
        <v>0</v>
      </c>
      <c r="BC14">
        <f>IF(Hoja1!BC7="x^1",Hoja1!BD7,0)</f>
        <v>0</v>
      </c>
      <c r="BD14">
        <f>IF(Hoja1!BD7="x^1",Hoja1!BE7,0)</f>
        <v>0</v>
      </c>
      <c r="BE14">
        <f>IF(Hoja1!BE7="x^1",Hoja1!BF7,0)</f>
        <v>0</v>
      </c>
      <c r="BF14">
        <f>IF(Hoja1!BF7="x^1",Hoja1!BG7,0)</f>
        <v>0</v>
      </c>
      <c r="BG14">
        <f>IF(Hoja1!BG7="x^1",Hoja1!BH7,0)</f>
        <v>0</v>
      </c>
      <c r="BH14">
        <f>IF(Hoja1!BH7="x^1",Hoja1!BI7,0)</f>
        <v>0</v>
      </c>
      <c r="BI14">
        <f>IF(Hoja1!BI7="x^1",Hoja1!BJ7,0)</f>
        <v>0</v>
      </c>
      <c r="BJ14">
        <f>IF(Hoja1!BJ7="x^1",Hoja1!BK7,0)</f>
        <v>0</v>
      </c>
      <c r="BK14">
        <f>IF(Hoja1!BK7="x^1",Hoja1!BL7,0)</f>
        <v>0</v>
      </c>
      <c r="BL14">
        <f>IF(Hoja1!BL7="x^1",Hoja1!BM7,0)</f>
        <v>0</v>
      </c>
      <c r="BM14">
        <f>IF(Hoja1!BM7="x^1",Hoja1!BN7,0)</f>
        <v>0</v>
      </c>
      <c r="BN14">
        <f>IF(Hoja1!BN7="x^1",Hoja1!BO7,0)</f>
        <v>0</v>
      </c>
      <c r="BO14">
        <f>IF(Hoja1!BO7="x^1",Hoja1!BP7,0)</f>
        <v>0</v>
      </c>
      <c r="BP14">
        <f>IF(Hoja1!BP7="x^1",Hoja1!BQ7,0)</f>
        <v>0</v>
      </c>
      <c r="BQ14">
        <f>IF(Hoja1!BQ7="x^1",Hoja1!BR7,0)</f>
        <v>0</v>
      </c>
      <c r="BR14">
        <f>IF(Hoja1!BR7="x^1",Hoja1!BS7,0)</f>
        <v>0</v>
      </c>
      <c r="BS14">
        <f>IF(Hoja1!BS7="x^1",Hoja1!BT7,0)</f>
        <v>0</v>
      </c>
      <c r="BT14">
        <f>IF(Hoja1!BT7="x^1",Hoja1!BU7,0)</f>
        <v>0</v>
      </c>
      <c r="BU14">
        <f>IF(Hoja1!BU7="x^1",Hoja1!BV7,0)</f>
        <v>0</v>
      </c>
      <c r="BV14">
        <f>IF(Hoja1!BV7="x^1",Hoja1!BW7,0)</f>
        <v>0</v>
      </c>
      <c r="BW14">
        <f>IF(Hoja1!BW7="x^1",Hoja1!BX7,0)</f>
        <v>0</v>
      </c>
      <c r="BX14">
        <f>IF(Hoja1!BX7="x^1",Hoja1!BY7,0)</f>
        <v>0</v>
      </c>
      <c r="BY14">
        <f>IF(Hoja1!BY7="x^1",Hoja1!BZ7,0)</f>
        <v>0</v>
      </c>
      <c r="BZ14">
        <f>IF(Hoja1!BZ7="x^1",Hoja1!CA7,0)</f>
        <v>0</v>
      </c>
      <c r="CA14">
        <f>IF(Hoja1!CA7="x^1",Hoja1!CB7,0)</f>
        <v>0</v>
      </c>
      <c r="CB14">
        <f>IF(Hoja1!CB7="x^1",Hoja1!CC7,0)</f>
        <v>0</v>
      </c>
      <c r="CC14">
        <f>IF(Hoja1!CC7="x^1",Hoja1!CD7,0)</f>
        <v>0</v>
      </c>
      <c r="CD14">
        <f>IF(Hoja1!CD7="x^1",Hoja1!CE7,0)</f>
        <v>0</v>
      </c>
      <c r="CE14">
        <f>IF(Hoja1!CE7="x^1",Hoja1!CF7,0)</f>
        <v>0</v>
      </c>
      <c r="CF14">
        <f>IF(Hoja1!CF7="x^1",Hoja1!CG7,0)</f>
        <v>0</v>
      </c>
      <c r="CG14">
        <f>IF(Hoja1!CG7="x^1",Hoja1!CH7,0)</f>
        <v>0</v>
      </c>
      <c r="CH14">
        <f>IF(Hoja1!CH7="x^1",Hoja1!CI7,0)</f>
        <v>0</v>
      </c>
      <c r="CI14">
        <f>IF(Hoja1!CI7="x^1",Hoja1!CJ7,0)</f>
        <v>0</v>
      </c>
      <c r="CJ14">
        <f>IF(Hoja1!CJ7="x^1",Hoja1!CK7,0)</f>
        <v>0</v>
      </c>
      <c r="CK14">
        <f>IF(Hoja1!CK7="x^1",Hoja1!CL7,0)</f>
        <v>0</v>
      </c>
      <c r="CL14">
        <f>IF(Hoja1!CL7="x^1",Hoja1!CM7,0)</f>
        <v>0</v>
      </c>
      <c r="CM14">
        <f>IF(Hoja1!CM7="x^1",Hoja1!CN7,0)</f>
        <v>0</v>
      </c>
      <c r="CN14">
        <f>IF(Hoja1!CN7="x^1",Hoja1!CO7,0)</f>
        <v>0</v>
      </c>
      <c r="CO14">
        <f>IF(Hoja1!CO7="x^1",Hoja1!CP7,0)</f>
        <v>0</v>
      </c>
      <c r="CP14">
        <f>IF(Hoja1!CP7="x^1",Hoja1!CQ7,0)</f>
        <v>0</v>
      </c>
      <c r="CQ14">
        <f>IF(Hoja1!CQ7="x^1",Hoja1!CR7,0)</f>
        <v>0</v>
      </c>
      <c r="CR14">
        <f>IF(Hoja1!CR7="x^1",Hoja1!CS7,0)</f>
        <v>0</v>
      </c>
      <c r="CS14">
        <f>IF(Hoja1!CS7="x^1",Hoja1!CT7,0)</f>
        <v>0</v>
      </c>
      <c r="CT14">
        <f>IF(Hoja1!CT7="x^1",Hoja1!CU7,0)</f>
        <v>0</v>
      </c>
      <c r="CU14">
        <f>IF(Hoja1!CU7="x^1",Hoja1!CV7,0)</f>
        <v>0</v>
      </c>
      <c r="CV14">
        <f>IF(Hoja1!CV7="x^1",Hoja1!CW7,0)</f>
        <v>0</v>
      </c>
      <c r="CW14">
        <f>IF(Hoja1!CW7="x^1",Hoja1!CX7,0)</f>
        <v>0</v>
      </c>
      <c r="CX14">
        <f>IF(Hoja1!CX7="x^1",Hoja1!CY7,0)</f>
        <v>0</v>
      </c>
      <c r="CY14">
        <f>IF(Hoja1!CY7="x^1",Hoja1!CZ7,0)</f>
        <v>0</v>
      </c>
      <c r="CZ14">
        <f>IF(Hoja1!CZ7="x^1",Hoja1!DA7,0)</f>
        <v>0</v>
      </c>
      <c r="DA14">
        <f>IF(Hoja1!DA7="x^1",Hoja1!DB7,0)</f>
        <v>0</v>
      </c>
      <c r="DB14">
        <f>IF(Hoja1!DB7="x^1",Hoja1!DC7,0)</f>
        <v>0</v>
      </c>
      <c r="DC14">
        <f>IF(Hoja1!DC7="x^1",Hoja1!DD7,0)</f>
        <v>0</v>
      </c>
      <c r="DD14">
        <f>IF(Hoja1!DD7="x^1",Hoja1!DE7,0)</f>
        <v>0</v>
      </c>
      <c r="DE14">
        <f>IF(Hoja1!DE7="x^1",Hoja1!DF7,0)</f>
        <v>0</v>
      </c>
      <c r="DF14">
        <f>IF(Hoja1!DF7="x^1",Hoja1!DG7,0)</f>
        <v>0</v>
      </c>
      <c r="DG14">
        <f>IF(Hoja1!DG7="x^1",Hoja1!DH7,0)</f>
        <v>0</v>
      </c>
      <c r="DH14">
        <f>IF(Hoja1!DH7="x^1",Hoja1!DI7,0)</f>
        <v>0</v>
      </c>
      <c r="DI14">
        <f>IF(Hoja1!DI7="x^1",Hoja1!DJ7,0)</f>
        <v>0</v>
      </c>
      <c r="DJ14">
        <f>IF(Hoja1!DJ7="x^1",Hoja1!DK7,0)</f>
        <v>0</v>
      </c>
      <c r="DK14">
        <f>IF(Hoja1!DK7="x^1",Hoja1!DL7,0)</f>
        <v>0</v>
      </c>
      <c r="DL14">
        <f>IF(Hoja1!DL7="x^1",Hoja1!DM7,0)</f>
        <v>0</v>
      </c>
      <c r="DM14">
        <f>IF(Hoja1!DM7="x^1",Hoja1!DN7,0)</f>
        <v>0</v>
      </c>
      <c r="DN14">
        <f>IF(Hoja1!DN7="x^1",Hoja1!DO7,0)</f>
        <v>0</v>
      </c>
      <c r="DO14">
        <f>IF(Hoja1!DO7="x^1",Hoja1!DP7,0)</f>
        <v>0</v>
      </c>
      <c r="DP14">
        <f>IF(Hoja1!DP7="x^1",Hoja1!DQ7,0)</f>
        <v>0</v>
      </c>
      <c r="DQ14">
        <f>IF(Hoja1!DQ7="x^1",Hoja1!DR7,0)</f>
        <v>0</v>
      </c>
      <c r="DR14">
        <f>IF(Hoja1!DR7="x^1",Hoja1!DS7,0)</f>
        <v>0</v>
      </c>
      <c r="DS14">
        <f>IF(Hoja1!DS7="x^1",Hoja1!DT7,0)</f>
        <v>0</v>
      </c>
      <c r="DT14">
        <f>IF(Hoja1!DT7="x^1",Hoja1!DU7,0)</f>
        <v>0</v>
      </c>
      <c r="DU14">
        <f>IF(Hoja1!DU7="x^1",Hoja1!DV7,0)</f>
        <v>0</v>
      </c>
      <c r="DV14">
        <f>IF(Hoja1!DV7="x^1",Hoja1!DW7,0)</f>
        <v>0</v>
      </c>
      <c r="DW14">
        <f>IF(Hoja1!DW7="x^1",Hoja1!DX7,0)</f>
        <v>0</v>
      </c>
      <c r="DX14">
        <f>IF(Hoja1!DX7="x^1",Hoja1!DY7,0)</f>
        <v>0</v>
      </c>
      <c r="DY14">
        <f>IF(Hoja1!DY7="x^1",Hoja1!DZ7,0)</f>
        <v>0</v>
      </c>
      <c r="DZ14">
        <f>IF(Hoja1!DZ7="x^1",Hoja1!EA7,0)</f>
        <v>0</v>
      </c>
      <c r="EA14">
        <f>IF(Hoja1!EA7="x^1",Hoja1!EB7,0)</f>
        <v>0</v>
      </c>
      <c r="EB14">
        <f>IF(Hoja1!EB7="x^1",Hoja1!EC7,0)</f>
        <v>0</v>
      </c>
      <c r="EC14">
        <f>IF(Hoja1!EC7="x^1",Hoja1!ED7,0)</f>
        <v>0</v>
      </c>
      <c r="ED14">
        <f>IF(Hoja1!ED7="x^1",Hoja1!EE7,0)</f>
        <v>0</v>
      </c>
      <c r="EE14">
        <f>IF(Hoja1!EE7="x^1",Hoja1!EF7,0)</f>
        <v>0</v>
      </c>
      <c r="EF14">
        <f>IF(Hoja1!EF7="x^1",Hoja1!EG7,0)</f>
        <v>0</v>
      </c>
      <c r="EG14">
        <f>IF(Hoja1!EG7="x^1",Hoja1!EH7,0)</f>
        <v>0</v>
      </c>
      <c r="EH14">
        <f>IF(Hoja1!EH7="x^1",Hoja1!EI7,0)</f>
        <v>0</v>
      </c>
      <c r="EI14">
        <f>IF(Hoja1!EI7="x^1",Hoja1!EJ7,0)</f>
        <v>0</v>
      </c>
      <c r="EJ14">
        <f>IF(Hoja1!EJ7="x^1",Hoja1!EK7,0)</f>
        <v>0</v>
      </c>
      <c r="EK14">
        <f>IF(Hoja1!EK7="x^1",Hoja1!EL7,0)</f>
        <v>0</v>
      </c>
      <c r="EL14">
        <f>IF(Hoja1!EL7="x^1",Hoja1!EM7,0)</f>
        <v>0</v>
      </c>
      <c r="EM14">
        <f>IF(Hoja1!EM7="x^1",Hoja1!EN7,0)</f>
        <v>0</v>
      </c>
      <c r="EN14">
        <f>IF(Hoja1!EN7="x^1",Hoja1!EO7,0)</f>
        <v>0</v>
      </c>
      <c r="EO14">
        <f>IF(Hoja1!EO7="x^1",Hoja1!EP7,0)</f>
        <v>0</v>
      </c>
      <c r="EP14">
        <f>IF(Hoja1!EP7="x^1",Hoja1!EQ7,0)</f>
        <v>0</v>
      </c>
      <c r="EQ14">
        <f>IF(Hoja1!EQ7="x^1",Hoja1!ER7,0)</f>
        <v>0</v>
      </c>
      <c r="ER14">
        <f>IF(Hoja1!ER7="x^1",Hoja1!ES7,0)</f>
        <v>0</v>
      </c>
      <c r="ES14">
        <f>IF(Hoja1!ES7="x^1",Hoja1!ET7,0)</f>
        <v>0</v>
      </c>
      <c r="ET14">
        <f>IF(Hoja1!ET7="x^1",Hoja1!EU7,0)</f>
        <v>0</v>
      </c>
      <c r="EU14">
        <f>IF(Hoja1!EU7="x^1",Hoja1!EV7,0)</f>
        <v>0</v>
      </c>
      <c r="EV14">
        <f>IF(Hoja1!EV7="x^1",Hoja1!EW7,0)</f>
        <v>0</v>
      </c>
      <c r="EW14">
        <f>IF(Hoja1!EW7="x^1",Hoja1!EX7,0)</f>
        <v>0</v>
      </c>
      <c r="EX14">
        <f>IF(Hoja1!EX7="x^1",Hoja1!EY7,0)</f>
        <v>0</v>
      </c>
      <c r="EY14">
        <f>IF(Hoja1!EY7="x^1",Hoja1!EZ7,0)</f>
        <v>0</v>
      </c>
      <c r="EZ14">
        <f>IF(Hoja1!EZ7="x^1",Hoja1!FA7,0)</f>
        <v>0</v>
      </c>
      <c r="FA14">
        <f>IF(Hoja1!FA7="x^1",Hoja1!FB7,0)</f>
        <v>0</v>
      </c>
      <c r="FB14">
        <f>IF(Hoja1!FB7="x^1",Hoja1!FC7,0)</f>
        <v>0</v>
      </c>
      <c r="FC14">
        <f>IF(Hoja1!FC7="x^1",Hoja1!FD7,0)</f>
        <v>0</v>
      </c>
      <c r="FD14">
        <f>IF(Hoja1!FD7="x^1",Hoja1!FE7,0)</f>
        <v>0</v>
      </c>
      <c r="FE14">
        <f>IF(Hoja1!FE7="x^1",Hoja1!FF7,0)</f>
        <v>0</v>
      </c>
      <c r="FF14">
        <f>IF(Hoja1!FF7="x^1",Hoja1!FG7,0)</f>
        <v>0</v>
      </c>
      <c r="FG14">
        <f>IF(Hoja1!FG7="x^1",Hoja1!FH7,0)</f>
        <v>0</v>
      </c>
      <c r="FH14">
        <f>IF(Hoja1!FH7="x^1",Hoja1!FI7,0)</f>
        <v>0</v>
      </c>
      <c r="FI14">
        <f>IF(Hoja1!FI7="x^1",Hoja1!FJ7,0)</f>
        <v>0</v>
      </c>
      <c r="FJ14">
        <f>IF(Hoja1!FJ7="x^1",Hoja1!FK7,0)</f>
        <v>0</v>
      </c>
      <c r="FK14">
        <f>IF(Hoja1!FK7="x^1",Hoja1!FL7,0)</f>
        <v>0</v>
      </c>
      <c r="FL14">
        <f>IF(Hoja1!FL7="x^1",Hoja1!FM7,0)</f>
        <v>0</v>
      </c>
      <c r="FM14">
        <f>IF(Hoja1!FM7="x^1",Hoja1!FN7,0)</f>
        <v>0</v>
      </c>
      <c r="FN14">
        <f>IF(Hoja1!FN7="x^1",Hoja1!FO7,0)</f>
        <v>0</v>
      </c>
      <c r="FO14">
        <f>IF(Hoja1!FO7="x^1",Hoja1!FP7,0)</f>
        <v>0</v>
      </c>
      <c r="FP14">
        <f>IF(Hoja1!FP7="x^1",Hoja1!FQ7,0)</f>
        <v>0</v>
      </c>
      <c r="FQ14">
        <f>IF(Hoja1!FQ7="x^1",Hoja1!FR7,0)</f>
        <v>0</v>
      </c>
      <c r="FR14">
        <f>IF(Hoja1!FR7="x^1",Hoja1!FS7,0)</f>
        <v>0</v>
      </c>
      <c r="FS14">
        <f>IF(Hoja1!FS7="x^1",Hoja1!FT7,0)</f>
        <v>0</v>
      </c>
      <c r="FT14">
        <f>IF(Hoja1!FT7="x^1",Hoja1!FU7,0)</f>
        <v>0</v>
      </c>
      <c r="FU14">
        <f>IF(Hoja1!FU7="x^1",Hoja1!FV7,0)</f>
        <v>0</v>
      </c>
      <c r="FV14">
        <f>IF(Hoja1!FV7="x^1",Hoja1!FW7,0)</f>
        <v>0</v>
      </c>
      <c r="FW14">
        <f>IF(Hoja1!FW7="x^1",Hoja1!FX7,0)</f>
        <v>0</v>
      </c>
      <c r="FX14">
        <f>IF(Hoja1!FX7="x^1",Hoja1!FY7,0)</f>
        <v>0</v>
      </c>
      <c r="FY14">
        <f>IF(Hoja1!FY7="x^1",Hoja1!FZ7,0)</f>
        <v>0</v>
      </c>
      <c r="FZ14">
        <f>IF(Hoja1!FZ7="x^1",Hoja1!GA7,0)</f>
        <v>0</v>
      </c>
      <c r="GA14">
        <f>IF(Hoja1!GA7="x^1",Hoja1!GB7,0)</f>
        <v>0</v>
      </c>
      <c r="GB14">
        <f>IF(Hoja1!GB7="x^1",Hoja1!GC7,0)</f>
        <v>0</v>
      </c>
      <c r="GC14">
        <f>IF(Hoja1!GC7="x^1",Hoja1!GD7,0)</f>
        <v>0</v>
      </c>
      <c r="GD14">
        <f>IF(Hoja1!GD7="x^1",Hoja1!GE7,0)</f>
        <v>0</v>
      </c>
      <c r="GE14">
        <f>IF(Hoja1!GE7="x^1",Hoja1!GF7,0)</f>
        <v>0</v>
      </c>
      <c r="GF14">
        <f>IF(Hoja1!GF7="x^1",Hoja1!GG7,0)</f>
        <v>0</v>
      </c>
      <c r="GG14">
        <f>IF(Hoja1!GG7="x^1",Hoja1!GH7,0)</f>
        <v>0</v>
      </c>
      <c r="GH14">
        <f>IF(Hoja1!GH7="x^1",Hoja1!GI7,0)</f>
        <v>0</v>
      </c>
      <c r="GI14">
        <f>IF(Hoja1!GI7="x^1",Hoja1!GJ7,0)</f>
        <v>0</v>
      </c>
      <c r="GJ14">
        <f>IF(Hoja1!GJ7="x^1",Hoja1!GK7,0)</f>
        <v>0</v>
      </c>
      <c r="GK14">
        <f>IF(Hoja1!GK7="x^1",Hoja1!GL7,0)</f>
        <v>0</v>
      </c>
      <c r="GL14">
        <f>IF(Hoja1!GL7="x^1",Hoja1!GM7,0)</f>
        <v>0</v>
      </c>
      <c r="GM14">
        <f>IF(Hoja1!GM7="x^1",Hoja1!GN7,0)</f>
        <v>0</v>
      </c>
      <c r="GN14">
        <f>IF(Hoja1!GN7="x^1",Hoja1!GO7,0)</f>
        <v>0</v>
      </c>
      <c r="GO14">
        <f>IF(Hoja1!GO7="x^1",Hoja1!GP7,0)</f>
        <v>0</v>
      </c>
      <c r="GP14">
        <f>IF(Hoja1!GP7="x^1",Hoja1!GQ7,0)</f>
        <v>0</v>
      </c>
      <c r="GQ14">
        <f>IF(Hoja1!GQ7="x^1",Hoja1!GR7,0)</f>
        <v>0</v>
      </c>
      <c r="GR14">
        <f>IF(Hoja1!GR7="x^1",Hoja1!GS7,0)</f>
        <v>0</v>
      </c>
      <c r="GS14">
        <f>IF(Hoja1!GS7="x^1",Hoja1!GT7,0)</f>
        <v>0</v>
      </c>
      <c r="GT14">
        <f>IF(Hoja1!GT7="x^1",Hoja1!GU7,0)</f>
        <v>0</v>
      </c>
      <c r="GU14">
        <f>IF(Hoja1!GU7="x^1",Hoja1!GV7,0)</f>
        <v>0</v>
      </c>
      <c r="GV14">
        <f>IF(Hoja1!GV7="x^1",Hoja1!GW7,0)</f>
        <v>0</v>
      </c>
    </row>
    <row r="16" spans="1:213" x14ac:dyDescent="0.25">
      <c r="C16">
        <f>IF(Hoja1!D7="x^0",Hoja1!C7*0,Hoja1!C7*Hoja2!B1)</f>
        <v>0</v>
      </c>
      <c r="E16">
        <f>IF(Hoja1!F7="x^0",Hoja1!E7*0,Hoja1!E7*Hoja2!B2)</f>
        <v>0</v>
      </c>
      <c r="G16">
        <f>IF(Hoja1!H7="x^0",Hoja1!G7*0,Hoja1!G7*Hoja2!B3)</f>
        <v>0</v>
      </c>
      <c r="I16">
        <f>IF(Hoja1!J7="x^0",Hoja1!I7*0,Hoja1!I7*Hoja2!B4)</f>
        <v>0</v>
      </c>
      <c r="K16">
        <f>IF(Hoja1!L7="x^0",Hoja1!K7*0,Hoja1!K7*Hoja2!B5)</f>
        <v>0</v>
      </c>
      <c r="M16">
        <f>IF(Hoja1!N7="x^0",Hoja1!M7*0,Hoja1!M7*Hoja2!B6)</f>
        <v>0</v>
      </c>
      <c r="O16">
        <f>IF(Hoja1!P7="x^0",Hoja1!O7*0,Hoja1!O7*Hoja2!B7)</f>
        <v>0</v>
      </c>
      <c r="Q16">
        <f>IF(Hoja1!R7="x^0",Hoja1!Q7*0,Hoja1!Q7*Hoja2!B8)</f>
        <v>0</v>
      </c>
      <c r="S16">
        <f>IF(Hoja1!T7="x^0",Hoja1!S7*0,Hoja1!S7*Hoja2!B9)</f>
        <v>0</v>
      </c>
      <c r="U16">
        <f>IF(Hoja1!V7="x^0",Hoja1!U7*0,Hoja1!U7*Hoja2!B10)</f>
        <v>0</v>
      </c>
      <c r="W16">
        <f>IF(Hoja1!X7="x^0",Hoja1!W7*0,Hoja1!W7*Hoja2!B11)</f>
        <v>0</v>
      </c>
      <c r="Y16">
        <f>IF(Hoja1!Z7="x^0",Hoja1!Y7*0,Hoja1!Y7*Hoja2!B12)</f>
        <v>0</v>
      </c>
      <c r="AA16">
        <f>IF(Hoja1!AB7="x^0",Hoja1!AA7*0,Hoja1!AA7*Hoja2!B13)</f>
        <v>0</v>
      </c>
      <c r="AC16">
        <f>IF(Hoja1!AD7="x^0",Hoja1!AC7*0,Hoja1!AC7*Hoja2!B14)</f>
        <v>0</v>
      </c>
      <c r="AE16">
        <f>IF(Hoja1!AF7="x^0",Hoja1!AE7*0,Hoja1!AE7*Hoja2!B15)</f>
        <v>0</v>
      </c>
      <c r="AG16">
        <f>IF(Hoja1!AH7="x^0",Hoja1!AG7*0,Hoja1!AG7*Hoja2!B16)</f>
        <v>0</v>
      </c>
      <c r="AI16">
        <f>IF(Hoja1!AJ7="x^0",Hoja1!AI7*0,Hoja1!AI7*Hoja2!B17)</f>
        <v>0</v>
      </c>
      <c r="AK16">
        <f>IF(Hoja1!AL7="x^0",Hoja1!AK7*0,Hoja1!AK7*Hoja2!B18)</f>
        <v>0</v>
      </c>
      <c r="AM16">
        <f>IF(Hoja1!AN7="x^0",Hoja1!AM7*0,Hoja1!AM7*Hoja2!B19)</f>
        <v>0</v>
      </c>
      <c r="AO16">
        <f>IF(Hoja1!AP7="x^0",Hoja1!AO7*0,Hoja1!AO7*Hoja2!B20)</f>
        <v>0</v>
      </c>
      <c r="AQ16">
        <f>IF(Hoja1!AR7="x^0",Hoja1!AQ7*0,Hoja1!AQ7*Hoja2!B21)</f>
        <v>0</v>
      </c>
      <c r="AS16">
        <f>IF(Hoja1!AT7="x^0",Hoja1!AS7*0,Hoja1!AS7*Hoja2!B22)</f>
        <v>0</v>
      </c>
      <c r="AU16">
        <f>IF(Hoja1!AV7="x^0",Hoja1!AU7*0,Hoja1!AU7*Hoja2!B23)</f>
        <v>0</v>
      </c>
      <c r="AW16">
        <f>IF(Hoja1!AX7="x^0",Hoja1!AW7*0,Hoja1!AW7*Hoja2!B24)</f>
        <v>0</v>
      </c>
      <c r="AY16">
        <f>IF(Hoja1!AZ7="x^0",Hoja1!AY7*0,Hoja1!AY7*Hoja2!B25)</f>
        <v>0</v>
      </c>
      <c r="BA16">
        <f>IF(Hoja1!BB7="x^0",Hoja1!BA7*0,Hoja1!BA7*Hoja2!B26)</f>
        <v>0</v>
      </c>
      <c r="BC16">
        <f>IF(Hoja1!BD7="x^0",Hoja1!BC7*0,Hoja1!BC7*Hoja2!B27)</f>
        <v>0</v>
      </c>
      <c r="BE16">
        <f>IF(Hoja1!BF7="x^0",Hoja1!BE7*0,Hoja1!BE7*Hoja2!B28)</f>
        <v>0</v>
      </c>
      <c r="BG16">
        <f>IF(Hoja1!BH7="x^0",Hoja1!BG7*0,Hoja1!BG7*Hoja2!B29)</f>
        <v>0</v>
      </c>
      <c r="BI16">
        <f>IF(Hoja1!BJ7="x^0",Hoja1!BI7*0,Hoja1!BI7*Hoja2!B30)</f>
        <v>0</v>
      </c>
      <c r="BK16">
        <f>IF(Hoja1!BL7="x^0",Hoja1!BK7*0,Hoja1!BK7*Hoja2!B31)</f>
        <v>0</v>
      </c>
      <c r="BM16">
        <f>IF(Hoja1!BN7="x^0",Hoja1!BM7*0,Hoja1!BM7*Hoja2!B32)</f>
        <v>0</v>
      </c>
      <c r="BO16">
        <f>IF(Hoja1!BP7="x^0",Hoja1!BO7*0,Hoja1!BO7*Hoja2!B33)</f>
        <v>0</v>
      </c>
      <c r="BQ16">
        <f>IF(Hoja1!BR7="x^0",Hoja1!BQ7*0,Hoja1!BQ7*Hoja2!B34)</f>
        <v>0</v>
      </c>
      <c r="BS16">
        <f>IF(Hoja1!BT7="x^0",Hoja1!BS7*0,Hoja1!BS7*Hoja2!B35)</f>
        <v>0</v>
      </c>
      <c r="BU16">
        <f>IF(Hoja1!BV7="x^0",Hoja1!BU7*0,Hoja1!BU7*Hoja2!B36)</f>
        <v>0</v>
      </c>
      <c r="BW16">
        <f>IF(Hoja1!BX7="x^0",Hoja1!BW7*0,Hoja1!BW7*Hoja2!B37)</f>
        <v>0</v>
      </c>
      <c r="BY16">
        <f>IF(Hoja1!BZ7="x^0",Hoja1!BY7*0,Hoja1!BY7*Hoja2!B38)</f>
        <v>0</v>
      </c>
      <c r="CA16">
        <f>IF(Hoja1!CB7="x^0",Hoja1!CA7*0,Hoja1!CA7*Hoja2!B39)</f>
        <v>0</v>
      </c>
      <c r="CC16">
        <f>IF(Hoja1!CD7="x^0",Hoja1!CC7*0,Hoja1!CC7*Hoja2!B40)</f>
        <v>0</v>
      </c>
      <c r="CE16">
        <f>IF(Hoja1!CF7="x^0",Hoja1!CE7*0,Hoja1!CE7*Hoja2!B41)</f>
        <v>0</v>
      </c>
      <c r="CG16">
        <f>IF(Hoja1!CH7="x^0",Hoja1!CG7*0,Hoja1!CG7*Hoja2!B42)</f>
        <v>0</v>
      </c>
      <c r="CI16">
        <f>IF(Hoja1!CJ7="x^0",Hoja1!CI7*0,Hoja1!CI7*Hoja2!B43)</f>
        <v>0</v>
      </c>
      <c r="CK16">
        <f>IF(Hoja1!CL7="x^0",Hoja1!CK7*0,Hoja1!CK7*Hoja2!B44)</f>
        <v>0</v>
      </c>
      <c r="CM16">
        <f>IF(Hoja1!CN7="x^0",Hoja1!CM7*0,Hoja1!CM7*Hoja2!B45)</f>
        <v>0</v>
      </c>
      <c r="CO16">
        <f>IF(Hoja1!CP7="x^0",Hoja1!CO7*0,Hoja1!CO7*Hoja2!B46)</f>
        <v>0</v>
      </c>
      <c r="CQ16">
        <f>IF(Hoja1!CR7="x^0",Hoja1!CQ7*0,Hoja1!CQ7*Hoja2!B47)</f>
        <v>0</v>
      </c>
      <c r="CS16">
        <f>IF(Hoja1!CT7="x^0",Hoja1!CS7*0,Hoja1!CS7*Hoja2!B48)</f>
        <v>0</v>
      </c>
      <c r="CU16">
        <f>IF(Hoja1!CV7="x^0",Hoja1!CU7*0,Hoja1!CU7*Hoja2!B49)</f>
        <v>0</v>
      </c>
      <c r="CW16">
        <f>IF(Hoja1!CX7="x^0",Hoja1!CW7*0,Hoja1!CW7*Hoja2!B50)</f>
        <v>0</v>
      </c>
      <c r="CY16">
        <f>IF(Hoja1!CZ7="x^0",Hoja1!CY7*0,Hoja1!CY7*Hoja2!B51)</f>
        <v>0</v>
      </c>
      <c r="DA16">
        <f>IF(Hoja1!DB7="x^0",Hoja1!DA7*0,Hoja1!DA7*Hoja2!B52)</f>
        <v>0</v>
      </c>
      <c r="DC16">
        <f>IF(Hoja1!DD7="x^0",Hoja1!DC7*0,Hoja1!DC7*Hoja2!B53)</f>
        <v>0</v>
      </c>
      <c r="DE16">
        <f>IF(Hoja1!DF7="x^0",Hoja1!DE7*0,Hoja1!DE7*Hoja2!B54)</f>
        <v>0</v>
      </c>
      <c r="DG16">
        <f>IF(Hoja1!DH7="x^0",Hoja1!DG7*0,Hoja1!DG7*Hoja2!B55)</f>
        <v>0</v>
      </c>
      <c r="DI16">
        <f>IF(Hoja1!DJ7="x^0",Hoja1!DI7*0,Hoja1!DI7*Hoja2!B56)</f>
        <v>0</v>
      </c>
      <c r="DK16">
        <f>IF(Hoja1!DL7="x^0",Hoja1!DK7*0,Hoja1!DK7*Hoja2!B57)</f>
        <v>0</v>
      </c>
      <c r="DM16">
        <f>IF(Hoja1!DN7="x^0",Hoja1!DM7*0,Hoja1!DM7*Hoja2!B58)</f>
        <v>0</v>
      </c>
      <c r="DO16">
        <f>IF(Hoja1!DP7="x^0",Hoja1!DO7*0,Hoja1!DO7*Hoja2!B59)</f>
        <v>0</v>
      </c>
      <c r="DQ16">
        <f>IF(Hoja1!DR7="x^0",Hoja1!DQ7*0,Hoja1!DQ7*Hoja2!B60)</f>
        <v>0</v>
      </c>
      <c r="DS16">
        <f>IF(Hoja1!DT7="x^0",Hoja1!DS7*0,Hoja1!DS7*Hoja2!B61)</f>
        <v>0</v>
      </c>
      <c r="DU16">
        <f>IF(Hoja1!DV7="x^0",Hoja1!DU7*0,Hoja1!DU7*Hoja2!B62)</f>
        <v>0</v>
      </c>
      <c r="DW16">
        <f>IF(Hoja1!DX7="x^0",Hoja1!DW7*0,Hoja1!DW7*Hoja2!B63)</f>
        <v>0</v>
      </c>
      <c r="DY16">
        <f>IF(Hoja1!DZ7="x^0",Hoja1!DY7*0,Hoja1!DY7*Hoja2!B64)</f>
        <v>0</v>
      </c>
      <c r="EA16">
        <f>IF(Hoja1!EB7="x^0",Hoja1!EA7*0,Hoja1!EA7*Hoja2!B65)</f>
        <v>0</v>
      </c>
      <c r="EC16">
        <f>IF(Hoja1!ED7="x^0",Hoja1!EC7*0,Hoja1!EC7*Hoja2!B66)</f>
        <v>0</v>
      </c>
      <c r="EE16">
        <f>IF(Hoja1!EF7="x^0",Hoja1!EE7*0,Hoja1!EE7*Hoja2!B67)</f>
        <v>0</v>
      </c>
      <c r="EG16">
        <f>IF(Hoja1!EH7="x^0",Hoja1!EG7*0,Hoja1!EG7*Hoja2!B68)</f>
        <v>0</v>
      </c>
      <c r="EI16">
        <f>IF(Hoja1!EJ7="x^0",Hoja1!EI7*0,Hoja1!EI7*Hoja2!B69)</f>
        <v>0</v>
      </c>
      <c r="EK16">
        <f>IF(Hoja1!EL7="x^0",Hoja1!EK7*0,Hoja1!EK7*Hoja2!B70)</f>
        <v>0</v>
      </c>
      <c r="EM16">
        <f>IF(Hoja1!EN7="x^0",Hoja1!EM7*0,Hoja1!EM7*Hoja2!B71)</f>
        <v>0</v>
      </c>
      <c r="EO16">
        <f>IF(Hoja1!EP7="x^0",Hoja1!EO7*0,Hoja1!EO7*Hoja2!B72)</f>
        <v>0</v>
      </c>
      <c r="EQ16">
        <f>IF(Hoja1!ER7="x^0",Hoja1!EQ7*0,Hoja1!EQ7*Hoja2!B73)</f>
        <v>0</v>
      </c>
      <c r="ES16">
        <f>IF(Hoja1!ET7="x^0",Hoja1!ES7*0,Hoja1!ES7*Hoja2!B74)</f>
        <v>0</v>
      </c>
      <c r="EU16">
        <f>IF(Hoja1!EV7="x^0",Hoja1!EU7*0,Hoja1!EU7*Hoja2!B75)</f>
        <v>0</v>
      </c>
      <c r="EW16">
        <f>IF(Hoja1!EX7="x^0",Hoja1!EW7*0,Hoja1!EW7*Hoja2!B76)</f>
        <v>0</v>
      </c>
      <c r="EY16">
        <f>IF(Hoja1!EZ7="x^0",Hoja1!EY7*0,Hoja1!EY7*Hoja2!B77)</f>
        <v>0</v>
      </c>
      <c r="FA16">
        <f>IF(Hoja1!FB7="x^0",Hoja1!FA7*0,Hoja1!FA7*Hoja2!B78)</f>
        <v>0</v>
      </c>
      <c r="FC16">
        <f>IF(Hoja1!FD7="x^0",Hoja1!FC7*0,Hoja1!FC7*Hoja2!B79)</f>
        <v>0</v>
      </c>
      <c r="FE16">
        <f>IF(Hoja1!FF7="x^0",Hoja1!FE7*0,Hoja1!FE7*Hoja2!B80)</f>
        <v>0</v>
      </c>
      <c r="FG16">
        <f>IF(Hoja1!FH7="x^0",Hoja1!FG7*0,Hoja1!FG7*Hoja2!B81)</f>
        <v>0</v>
      </c>
      <c r="FI16">
        <f>IF(Hoja1!FJ7="x^0",Hoja1!FI7*0,Hoja1!FI7*Hoja2!B82)</f>
        <v>0</v>
      </c>
      <c r="FK16">
        <f>IF(Hoja1!FL7="x^0",Hoja1!FK7*0,Hoja1!FK7*Hoja2!B83)</f>
        <v>0</v>
      </c>
      <c r="FM16">
        <f>IF(Hoja1!FN7="x^0",Hoja1!FM7*0,Hoja1!FM7*Hoja2!B84)</f>
        <v>0</v>
      </c>
      <c r="FO16">
        <f>IF(Hoja1!FP7="x^0",Hoja1!FO7*0,Hoja1!FO7*Hoja2!B85)</f>
        <v>0</v>
      </c>
      <c r="FQ16">
        <f>IF(Hoja1!FR7="x^0",Hoja1!FQ7*0,Hoja1!FQ7*Hoja2!B86)</f>
        <v>0</v>
      </c>
      <c r="FS16">
        <f>IF(Hoja1!FT7="x^0",Hoja1!FS7*0,Hoja1!FS7*Hoja2!B87)</f>
        <v>0</v>
      </c>
      <c r="FU16">
        <f>IF(Hoja1!FV7="x^0",Hoja1!FU7*0,Hoja1!FU7*Hoja2!B88)</f>
        <v>0</v>
      </c>
      <c r="FW16">
        <f>IF(Hoja1!FX7="x^0",Hoja1!FW7*0,Hoja1!FW7*Hoja2!B89)</f>
        <v>0</v>
      </c>
      <c r="FY16">
        <f>IF(Hoja1!FZ7="x^0",Hoja1!FY7*0,Hoja1!FY7*Hoja2!B90)</f>
        <v>0</v>
      </c>
      <c r="GA16">
        <f>IF(Hoja1!GB7="x^0",Hoja1!GA7*0,Hoja1!GA7*Hoja2!B91)</f>
        <v>0</v>
      </c>
      <c r="GC16">
        <f>IF(Hoja1!GD7="x^0",Hoja1!GC7*0,Hoja1!GC7*Hoja2!B92)</f>
        <v>0</v>
      </c>
      <c r="GE16">
        <f>IF(Hoja1!GF7="x^0",Hoja1!GE7*0,Hoja1!GE7*Hoja2!B93)</f>
        <v>0</v>
      </c>
      <c r="GG16">
        <f>IF(Hoja1!GH7="x^0",Hoja1!GG7*0,Hoja1!GG7*Hoja2!B94)</f>
        <v>0</v>
      </c>
      <c r="GI16">
        <f>IF(Hoja1!GJ7="x^0",Hoja1!GI7*0,Hoja1!GI7*Hoja2!B95)</f>
        <v>0</v>
      </c>
      <c r="GK16">
        <f>IF(Hoja1!GL7="x^0",Hoja1!GK7*0,Hoja1!GK7*Hoja2!B96)</f>
        <v>0</v>
      </c>
      <c r="GM16">
        <f>IF(Hoja1!GN7="x^0",Hoja1!GM7*0,Hoja1!GM7*Hoja2!B97)</f>
        <v>0</v>
      </c>
      <c r="GO16">
        <f>IF(Hoja1!GP7="x^0",Hoja1!GO7*0,Hoja1!GO7*Hoja2!B98)</f>
        <v>0</v>
      </c>
      <c r="GQ16">
        <f>IF(Hoja1!GR7="x^0",Hoja1!GQ7*0,Hoja1!GQ7*Hoja2!B99)</f>
        <v>0</v>
      </c>
      <c r="GS16">
        <f>IF(Hoja1!GT7="x^0",Hoja1!GS7*0,Hoja1!GS7*Hoja2!B100)</f>
        <v>0</v>
      </c>
      <c r="GU16">
        <f>IF(Hoja1!GV7="x^0",Hoja1!GU7*0,Hoja1!GU7*Hoja2!B101)</f>
        <v>0</v>
      </c>
    </row>
    <row r="17" spans="3:10" x14ac:dyDescent="0.25">
      <c r="C17" t="s">
        <v>114</v>
      </c>
    </row>
    <row r="18" spans="3:10" x14ac:dyDescent="0.25">
      <c r="C18" s="2">
        <f>SUM(Hoja2!C16:'Hoja2'!GU16)</f>
        <v>0</v>
      </c>
      <c r="E18">
        <v>2</v>
      </c>
      <c r="F18">
        <v>4.4234693877551026</v>
      </c>
      <c r="G18">
        <v>6.7142857142857153</v>
      </c>
      <c r="H18">
        <v>1.3411854103343466</v>
      </c>
      <c r="I18">
        <v>32.940729483282674</v>
      </c>
    </row>
    <row r="19" spans="3:10" x14ac:dyDescent="0.25">
      <c r="C19" t="s">
        <v>113</v>
      </c>
      <c r="F19" t="s">
        <v>116</v>
      </c>
      <c r="H19" t="s">
        <v>112</v>
      </c>
    </row>
    <row r="20" spans="3:10" x14ac:dyDescent="0.25">
      <c r="C20" s="2" t="str">
        <f>IF(Hoja2!C18=0,"Error",J20-(Hoja2!E13/Hoja2!C18))</f>
        <v>Error</v>
      </c>
      <c r="D20" s="6">
        <f>Hoja1!F11</f>
        <v>0</v>
      </c>
      <c r="E20" s="6">
        <f>Hoja1!E18</f>
        <v>0</v>
      </c>
      <c r="F20" s="2" t="e">
        <f>IF(J20=H20,((Hoja1!E18-C20)/Hoja1!E18)*100,ABS(((J20-C20)/J20)*100))</f>
        <v>#VALUE!</v>
      </c>
      <c r="G20" s="6"/>
      <c r="H20" s="2">
        <f>IF(Hoja1!E18&lt;&gt;Hoja1!D11,Hoja2!$J$20,Hoja1!$D$11)</f>
        <v>0</v>
      </c>
      <c r="J20">
        <v>5.598249904418954</v>
      </c>
    </row>
  </sheetData>
  <mergeCells count="2">
    <mergeCell ref="GY6:GZ6"/>
    <mergeCell ref="GY7:GZ7"/>
  </mergeCells>
  <conditionalFormatting sqref="HA9:HE10">
    <cfRule type="containsText" dxfId="7" priority="1" operator="containsText" text="X_n">
      <formula>NOT(ISERROR(SEARCH("X_n",HA9)))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4</vt:i4>
      </vt:variant>
    </vt:vector>
  </HeadingPairs>
  <TitlesOfParts>
    <vt:vector size="6" baseType="lpstr">
      <vt:lpstr>Hoja1</vt:lpstr>
      <vt:lpstr>Hoja2</vt:lpstr>
      <vt:lpstr>grado</vt:lpstr>
      <vt:lpstr>metodos</vt:lpstr>
      <vt:lpstr>tablanew</vt:lpstr>
      <vt:lpstr>tablas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STEBAN MOSQUERA</dc:creator>
  <cp:lastModifiedBy>STEBAN MOSQUERA</cp:lastModifiedBy>
  <dcterms:created xsi:type="dcterms:W3CDTF">2020-09-28T21:46:53Z</dcterms:created>
  <dcterms:modified xsi:type="dcterms:W3CDTF">2020-10-04T02:21:35Z</dcterms:modified>
</cp:coreProperties>
</file>